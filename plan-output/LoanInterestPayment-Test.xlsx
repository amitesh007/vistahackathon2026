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BD7585F9-AED6-4CC2-80A3-9077F4CC301D}" xr6:coauthVersionLast="47" xr6:coauthVersionMax="47" xr10:uidLastSave="{00000000-0000-0000-0000-000000000000}"/>
  <bookViews>
    <workbookView xWindow="-120" yWindow="-120" windowWidth="29040" windowHeight="15720" activeTab="8" xr2:uid="{00000000-000D-0000-FFFF-FFFF00000000}"/>
  </bookViews>
  <sheets>
    <sheet name="Index" sheetId="1" r:id="rId1"/>
    <sheet name="VersionHistory" sheetId="2" r:id="rId2"/>
    <sheet name="Create" sheetId="3" r:id="rId3"/>
    <sheet name="Sheet1" sheetId="4" state="hidden" r:id="rId4"/>
    <sheet name="Update" sheetId="5" r:id="rId5"/>
    <sheet name="Cancel" sheetId="6" r:id="rId6"/>
    <sheet name="Delete" sheetId="7" r:id="rId7"/>
    <sheet name="Search" sheetId="8" state="hidden" r:id="rId8"/>
    <sheet name="GetByID" sheetId="9" r:id="rId9"/>
    <sheet name="OutOfScope" sheetId="10" r:id="rId10"/>
    <sheet name="Loan Change Transaction" sheetId="11" r:id="rId11"/>
  </sheets>
  <definedNames>
    <definedName name="_Toc139059209">Update!$B$23</definedName>
    <definedName name="_Toc81484211">OutOfScope!$A$31</definedName>
    <definedName name="_Toc81484212">OutOfScope!$A$32</definedName>
    <definedName name="_Toc81484213">OutOfScope!$A$33</definedName>
    <definedName name="_Toc81484214">OutOfScope!$A$34</definedName>
    <definedName name="_Toc81484215">OutOfScope!$A$35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1" i="11" l="1"/>
  <c r="A132" i="11" s="1"/>
  <c r="A133" i="11" s="1"/>
  <c r="A134" i="11" s="1"/>
  <c r="A135" i="11" s="1"/>
  <c r="A136" i="11" s="1"/>
  <c r="A10" i="1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 i="6"/>
  <c r="A11" i="6"/>
  <c r="A2" i="4"/>
  <c r="A3" i="4" s="1"/>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B11" i="2"/>
  <c r="D9" i="2"/>
  <c r="D10" i="2" s="1"/>
  <c r="A3" i="1"/>
  <c r="A4" i="1" s="1"/>
  <c r="A5" i="1" s="1"/>
  <c r="A6" i="1" s="1"/>
  <c r="A7" i="1" s="1"/>
  <c r="A24" i="10" a="1"/>
  <c r="A4" i="10" a="1"/>
  <c r="A5" i="8" a="1"/>
  <c r="A25" i="8" a="1"/>
  <c r="A13" i="3" a="1"/>
  <c r="A14" i="10" a="1"/>
  <c r="A25" i="8" l="1"/>
  <c r="A24" i="10"/>
  <c r="A4" i="10"/>
  <c r="A13" i="3"/>
  <c r="A5" i="8"/>
  <c r="A14" i="10"/>
  <c r="A26" i="8" a="1"/>
  <c r="A25" i="10" a="1"/>
  <c r="A6" i="8" a="1"/>
  <c r="A14" i="3" a="1"/>
  <c r="A15" i="10" a="1"/>
  <c r="A5" i="10" a="1"/>
  <c r="A15" i="10" l="1"/>
  <c r="A6" i="8"/>
  <c r="A14" i="3"/>
  <c r="A5" i="10"/>
  <c r="A25" i="10"/>
  <c r="A26" i="8"/>
  <c r="A16" i="10" a="1"/>
  <c r="A6" i="10" a="1"/>
  <c r="A26" i="10" a="1"/>
  <c r="A7" i="8" a="1"/>
  <c r="A27" i="8" a="1"/>
  <c r="A15" i="3" a="1"/>
  <c r="A15" i="3" l="1"/>
  <c r="A7" i="8"/>
  <c r="A27" i="8"/>
  <c r="A26" i="10"/>
  <c r="A6" i="10"/>
  <c r="A16" i="10"/>
  <c r="A16" i="3" a="1"/>
  <c r="A17" i="10" a="1"/>
  <c r="A28" i="8" a="1"/>
  <c r="A27" i="10" a="1"/>
  <c r="A7" i="10" a="1"/>
  <c r="A8" i="8" a="1"/>
  <c r="A27" i="10" l="1"/>
  <c r="A28" i="8"/>
  <c r="A8" i="8"/>
  <c r="A17" i="10"/>
  <c r="A7" i="10"/>
  <c r="A16" i="3"/>
  <c r="A28" i="10" a="1"/>
  <c r="A17" i="3" a="1"/>
  <c r="A9" i="8" a="1"/>
  <c r="A29" i="8" a="1"/>
  <c r="A18" i="10" a="1"/>
  <c r="A8" i="10" a="1"/>
  <c r="A17" i="3" l="1"/>
  <c r="A8" i="10"/>
  <c r="A18" i="10"/>
  <c r="A9" i="8"/>
  <c r="A29" i="8"/>
  <c r="A28" i="10"/>
  <c r="A9" i="10" a="1"/>
  <c r="A18" i="3" a="1"/>
  <c r="A30" i="8" a="1"/>
  <c r="A29" i="10" a="1"/>
  <c r="A10" i="8" a="1"/>
  <c r="A19" i="10" a="1"/>
  <c r="A29" i="10" l="1"/>
  <c r="A30" i="8"/>
  <c r="A10" i="8"/>
  <c r="A19" i="10"/>
  <c r="A9" i="10"/>
  <c r="A18" i="3"/>
  <c r="A19" i="3" a="1"/>
  <c r="A31" i="8" a="1"/>
  <c r="A11" i="8" a="1"/>
  <c r="A19" i="3" l="1"/>
  <c r="A11" i="8"/>
  <c r="A31" i="8"/>
  <c r="A32" i="8" a="1"/>
  <c r="A20" i="3" a="1"/>
  <c r="A12" i="8" a="1"/>
  <c r="A32" i="8" l="1"/>
  <c r="A12" i="8"/>
  <c r="A20" i="3"/>
  <c r="A33" i="8" a="1"/>
  <c r="A13" i="8" a="1"/>
  <c r="A21" i="3" a="1"/>
  <c r="A21" i="3" l="1"/>
  <c r="A13" i="8"/>
  <c r="A33" i="8"/>
  <c r="A14" i="8" a="1"/>
  <c r="A34" i="8" a="1"/>
  <c r="A14" i="8" l="1"/>
  <c r="A34" i="8"/>
  <c r="A15" i="8" a="1"/>
  <c r="A35" i="8" a="1"/>
  <c r="A35" i="8" l="1"/>
  <c r="A15" i="8"/>
  <c r="A16" i="8" a="1"/>
  <c r="A36" i="8" a="1"/>
  <c r="A16" i="8" l="1"/>
  <c r="A36" i="8"/>
  <c r="A17" i="8" a="1"/>
  <c r="A37" i="8" a="1"/>
  <c r="A37" i="8" l="1"/>
  <c r="A17" i="8"/>
  <c r="A38" i="8" a="1"/>
  <c r="A18" i="8" a="1"/>
  <c r="A18" i="8" l="1"/>
  <c r="A38" i="8"/>
  <c r="A39" i="8" a="1"/>
  <c r="A19" i="8" a="1"/>
  <c r="A39" i="8" l="1"/>
  <c r="A19" i="8"/>
  <c r="A40" i="8" a="1"/>
  <c r="A20" i="8" a="1"/>
  <c r="A20" i="8" l="1"/>
  <c r="A40" i="8"/>
</calcChain>
</file>

<file path=xl/sharedStrings.xml><?xml version="1.0" encoding="utf-8"?>
<sst xmlns="http://schemas.openxmlformats.org/spreadsheetml/2006/main" count="4494" uniqueCount="874">
  <si>
    <t>Sl. No.</t>
  </si>
  <si>
    <t>API Requirement Name</t>
  </si>
  <si>
    <t>Description</t>
  </si>
  <si>
    <t>Status</t>
  </si>
  <si>
    <t>Remarks</t>
  </si>
  <si>
    <t>Supported in SOAP currently (Y/N)</t>
  </si>
  <si>
    <t>Create</t>
  </si>
  <si>
    <t>Creation of a new Loan Principal Payment</t>
  </si>
  <si>
    <t>Update</t>
  </si>
  <si>
    <t>Update a Loan Principal Payment</t>
  </si>
  <si>
    <t>Cancel</t>
  </si>
  <si>
    <t>Cancel a Loan Principal Payment</t>
  </si>
  <si>
    <t>Delete</t>
  </si>
  <si>
    <t>Delete a Loan Principal Payment</t>
  </si>
  <si>
    <t>Search</t>
  </si>
  <si>
    <t>Search for a Loan Principal Payment</t>
  </si>
  <si>
    <t>Work in Progress</t>
  </si>
  <si>
    <t>GetByID</t>
  </si>
  <si>
    <t>Get details of specific  Loan Principal Payment</t>
  </si>
  <si>
    <t>Version</t>
  </si>
  <si>
    <t>Changed by</t>
  </si>
  <si>
    <t>Summary</t>
  </si>
  <si>
    <t>Date</t>
  </si>
  <si>
    <t>Romesh Kumar</t>
  </si>
  <si>
    <t>Created</t>
  </si>
  <si>
    <t>Added Column "Present in TRANSACT" to identify all fields present in Transact</t>
  </si>
  <si>
    <t>Added column :Updatable (Y/N)? In "update" sheet</t>
  </si>
  <si>
    <t>Created Out of Scope Sheet and added content</t>
  </si>
  <si>
    <t>Edited Output of GetByID, Input for Create and Update</t>
  </si>
  <si>
    <t>Removed Status code for Create and Update Inputs</t>
  </si>
  <si>
    <t>Akanksha</t>
  </si>
  <si>
    <t>Changed "LoanPrincipalPayment RID" to "loanTransactionId"</t>
  </si>
  <si>
    <t>Changed "loanRID" to "LoanId"</t>
  </si>
  <si>
    <t>Changed "loan Alias" to "loanAlias"</t>
  </si>
  <si>
    <t>Changed description in Update sheet"Required for Update call - Non Functional requirement, SYSTEM Derived and non-user updatable"</t>
  </si>
  <si>
    <t>Deleted "updateUserId" from GetById &amp; Update sheet</t>
  </si>
  <si>
    <t>Editing the Search Output Parameters</t>
  </si>
  <si>
    <t>Updating description and required field under "loanAlias" &amp; "loanId" for Create, Update &amp; GetById</t>
  </si>
  <si>
    <t>Draft Search call attributes updated</t>
  </si>
  <si>
    <t>Search spec reviewed by Dev Team</t>
  </si>
  <si>
    <t>Attribute name changed "smeSystemSourceId" to "systemSourceId"</t>
  </si>
  <si>
    <t>R</t>
  </si>
  <si>
    <t>Required for Code Generation</t>
  </si>
  <si>
    <t>NR</t>
  </si>
  <si>
    <t>Not requied for Code Generation</t>
  </si>
  <si>
    <t>Prerequisites</t>
  </si>
  <si>
    <t>PCP</t>
  </si>
  <si>
    <t>N</t>
  </si>
  <si>
    <t>FILE_OP_PATH</t>
  </si>
  <si>
    <t>C:\REST_AUTO_FILE_GEN\principal_payment</t>
  </si>
  <si>
    <t>SOAP_CLASS</t>
  </si>
  <si>
    <t>INTEGRATION_CLASS</t>
  </si>
  <si>
    <t>RESPONSE_CLASS</t>
  </si>
  <si>
    <t>LiqAPILoanPrincipalPaymentIntegrationAsReturnValue</t>
  </si>
  <si>
    <t>PACKAGE_NAME</t>
  </si>
  <si>
    <t>com.misys.liq.api.rest.data.outstanding.principal</t>
  </si>
  <si>
    <t>Input</t>
  </si>
  <si>
    <t>SL_NO</t>
  </si>
  <si>
    <t>CLASS_NAME</t>
  </si>
  <si>
    <t>ATTRIBUTE_CATEGORY</t>
  </si>
  <si>
    <t>SWAGGER_ATTRIBUTE_CATEGORY</t>
  </si>
  <si>
    <t xml:space="preserve">IS_LIST </t>
  </si>
  <si>
    <t>ATTRIBUTE_SUB_CATEGORY_1</t>
  </si>
  <si>
    <t>SWAGGER_ATTRIBUTE_SUB_CATEGORY_1</t>
  </si>
  <si>
    <t>IS_LIST_1</t>
  </si>
  <si>
    <t>ATTRIBUTE_SUB_CATEGORY_2</t>
  </si>
  <si>
    <t>SWAGGER_ATTRIBUTE_SUB_CATEGORY_2</t>
  </si>
  <si>
    <t>IS_LIST_2</t>
  </si>
  <si>
    <t>ATTRIBUTE_SUB_CATEGORY_3</t>
  </si>
  <si>
    <t>SWAGGER_ATTRIBUTE_SUB_CATEGORY_3</t>
  </si>
  <si>
    <t>IS_LIST_3</t>
  </si>
  <si>
    <t>ATTRIBUTE_FIELD_NAME</t>
  </si>
  <si>
    <t>SWAGGER_ATTRIBUTE_FIELD_NAME</t>
  </si>
  <si>
    <t>DATA_TYPE</t>
  </si>
  <si>
    <t>REQUIRED</t>
  </si>
  <si>
    <t>ATTRIBUTE_DESCRIPTION</t>
  </si>
  <si>
    <t>SWAGGER_ATTRIBUTE_DESCRIPTION</t>
  </si>
  <si>
    <t>UPDATABLE_x000D_
(Applicable only For Update Calls, enter 'N" for Create and Query calls)</t>
  </si>
  <si>
    <t>IN_SOAP_API_x000D_
(Enter 'Y' if the field is available in existing API Function class , and if it is a new field then enter N')</t>
  </si>
  <si>
    <t>MIN_SIZE_x000D_
(attributes which have max size defined)</t>
  </si>
  <si>
    <t>MAX_SIZE(attributes which have min size defined)</t>
  </si>
  <si>
    <t>Default Value</t>
  </si>
  <si>
    <t>Multiple Values allowed (Y/N)</t>
  </si>
  <si>
    <t>Translation Required (Y/N)</t>
  </si>
  <si>
    <t>Translation Logic</t>
  </si>
  <si>
    <t>Code Table</t>
  </si>
  <si>
    <t>Questions?</t>
  </si>
  <si>
    <t>Present in TRANSACT?</t>
  </si>
  <si>
    <t>requestedAmount</t>
  </si>
  <si>
    <t>Alphanumeric</t>
  </si>
  <si>
    <t>Y</t>
  </si>
  <si>
    <t>String</t>
  </si>
  <si>
    <t>effectiveDate</t>
  </si>
  <si>
    <t>LocalDate</t>
  </si>
  <si>
    <t>eventComment</t>
  </si>
  <si>
    <t>A description of the event.</t>
  </si>
  <si>
    <t>preventOnlineDeletionIndicator</t>
  </si>
  <si>
    <t>Boolean</t>
  </si>
  <si>
    <t>Prevents the user from deleting the loan.</t>
  </si>
  <si>
    <t>transactionDescription</t>
  </si>
  <si>
    <t>The description of the transaction.</t>
  </si>
  <si>
    <t>loanAlias</t>
  </si>
  <si>
    <t>loanId</t>
  </si>
  <si>
    <t>suppressBreakfunding</t>
  </si>
  <si>
    <t xml:space="preserve">transactionDate </t>
  </si>
  <si>
    <t>systemSourceId</t>
  </si>
  <si>
    <t>This attribute allows user to define the Source System in the Source System ID code table and use the same for mapping of transactions based on the Source System.</t>
  </si>
  <si>
    <t>Default value is "Blank"</t>
  </si>
  <si>
    <t>codeTable=Source System ID</t>
  </si>
  <si>
    <t>sourceRefNum</t>
  </si>
  <si>
    <t>This attribute allows the user to define the Source Reference Number at the transaction level, so that the same is taken into considering when processing the transaction.</t>
  </si>
  <si>
    <t>OUTPUT</t>
  </si>
  <si>
    <t>LoanPrincipalPaymentIntegrationAsReturnValue</t>
  </si>
  <si>
    <t>Success</t>
  </si>
  <si>
    <t>True/False</t>
  </si>
  <si>
    <t>Message</t>
  </si>
  <si>
    <t>(List of) output message</t>
  </si>
  <si>
    <t>loanTransactionId</t>
  </si>
  <si>
    <t>RID of the Upfront fee</t>
  </si>
  <si>
    <t>updateTimeStamp</t>
  </si>
  <si>
    <t>LocalDateTime</t>
  </si>
  <si>
    <t>Timestamp of action processed in Loan IQ</t>
  </si>
  <si>
    <t>Back to Index</t>
  </si>
  <si>
    <t>&lt;TweakedShares&gt;&lt;TweakedServicingGroupShare&gt;</t>
  </si>
  <si>
    <t>amount</t>
  </si>
  <si>
    <t>Numeric</t>
  </si>
  <si>
    <t>The amount of the Servicing Group Share.</t>
  </si>
  <si>
    <t>lenderExternalId</t>
  </si>
  <si>
    <t>External ID of the customer.</t>
  </si>
  <si>
    <t>servicingGroupAlias</t>
  </si>
  <si>
    <t>The Servicing Group Alias pertaining to the customer. _x000D_
Validation: A valid Servicing Group Alias for the customer whose ID is passed in the lenderExternalId field must be passed in this field.</t>
  </si>
  <si>
    <t>&lt;TweakedShares&gt;&lt;TweakedServicingGroupSkimShare&gt;</t>
  </si>
  <si>
    <t>The Amount of the Servicing Group Skim Share.</t>
  </si>
  <si>
    <t>skimRate</t>
  </si>
  <si>
    <t>The Skim Rate of the Servicing Group Share.</t>
  </si>
  <si>
    <t>&lt;TweakedShares&gt;&lt;TweakedParticipationShare&gt;</t>
  </si>
  <si>
    <t>Amount of the participation share</t>
  </si>
  <si>
    <t>participationAgreementId</t>
  </si>
  <si>
    <t>Participation Agreement ID</t>
  </si>
  <si>
    <t>&lt;TweakedShares&gt;&lt;TweakedParticipationSkimShare&gt;</t>
  </si>
  <si>
    <t>Amount of the Participation skim share</t>
  </si>
  <si>
    <t>The Skim Rate of the Participation.</t>
  </si>
  <si>
    <t>&lt;TweakedShares&gt;&lt;TweakedPortfolioShare&gt;</t>
  </si>
  <si>
    <t>Amount of the Portfolio Share_x000D_
Validation:_x000D_
If the Portfolio Loan Subsidy Share does not have an allocation for a specific bucket, passing an amount for that bucket causes the API to fail. If the Portfolio Loan Subsidy Share has an allocation for that funding amount bucket and the amount passed is greater than the allocation, the API fails.</t>
  </si>
  <si>
    <t>branchCode</t>
  </si>
  <si>
    <t>Branch Code_x000D_
Validations: Must be part of an existing Branch/Portfolio/Expense code combination for the Portfolio Share.</t>
  </si>
  <si>
    <t>codeTable: Branch</t>
  </si>
  <si>
    <t>expenseCode</t>
  </si>
  <si>
    <t>Expense Code_x000D_
Validation: Must be part of an existing Branch/Portfolio/Expense code combination for the Portfolio Share</t>
  </si>
  <si>
    <t>codeTable: Expense</t>
  </si>
  <si>
    <t>portfolioCode</t>
  </si>
  <si>
    <t>Portfolio Code_x000D_
Validations:_x000D_
Must be an active portfolio on the portfolio table._x000D_
Must be part of an existing Branch/Portfolio/Expense code combination for the Portfolio Share.</t>
  </si>
  <si>
    <t>codeTable: Portfolio</t>
  </si>
  <si>
    <t>amountNetAll</t>
  </si>
  <si>
    <t>Amount Net All_x000D_
The net all amount of the Tweaked Portfolio Share.</t>
  </si>
  <si>
    <t>CustomRemittanceInstruction</t>
  </si>
  <si>
    <t>messageID</t>
  </si>
  <si>
    <t>The message ID of the notification.</t>
  </si>
  <si>
    <t>description</t>
  </si>
  <si>
    <t>Description of the Remittance Instruction_x000D_
Validation: Must be unique within the specified Profile/Location.</t>
  </si>
  <si>
    <t>Custom</t>
  </si>
  <si>
    <t>attention</t>
  </si>
  <si>
    <t>Required if Method is Interdepartmental Transfer (IDTS), otherwise not applicable. Free form entry.</t>
  </si>
  <si>
    <t>autoDoIt</t>
  </si>
  <si>
    <t>Validations: Not available if Remittance Instructions are Check or Interdepartmental Transfer (IDTS). Defaults to No. When Yes, all cashflows associated with this transaction are automatically flagged as Do It when created so that they are automatically released when the transaction is released. If the Payment Method and Direction noted in the Remittance Instruction indicates that the instruction can be used only for some type of incoming money transfer, then the Auto Do It feature does not apply, and the Auto Do It indicator is disabled.</t>
  </si>
  <si>
    <t>remittanceMethod</t>
  </si>
  <si>
    <t>Remittance Method Type_x000D_
Notes:_x000D_
•	Book Transfer is not available to a customer who is a Host Bank Legal Entity._x000D_
•	While cashflows between Host Bank Lenders are limited to IDDA (Interco/DDA), cashflows for Host Bank Borrowers cannot be Interco/DDA, but may use the regular DDA payment method._x000D_
•	Check is allowed for Host Bank Remittance Instruction. For incoming cashflows (from borrowers and lenders) that are Fed, Local Clearing, and Check, the system looks for the first Host Bank Remittance Instruction in the Facility main SG that has the same Payment Method and picks up the Host Bank ABA # or check address and prints it on the fax (or borrower bill).</t>
  </si>
  <si>
    <t>Remittance Instruction Method – ACH</t>
  </si>
  <si>
    <t>achAcctName</t>
  </si>
  <si>
    <t>Automated Clearing House Account Name.</t>
  </si>
  <si>
    <t>achAcctNumber</t>
  </si>
  <si>
    <t>Automated Clear House Account Number.</t>
  </si>
  <si>
    <t>achNumber</t>
  </si>
  <si>
    <t>American Bankers Association Number_x000D_
Required to save. The value passed must be among the active codes maintained in online Loan IQ.</t>
  </si>
  <si>
    <t>codeTable: Federal American Bankers</t>
  </si>
  <si>
    <t>Remittance Instruction Method – Book Transfer</t>
  </si>
  <si>
    <t>bookTransferAccountNumber</t>
  </si>
  <si>
    <t>Book Transfer Account Number_x000D_
Required to save.</t>
  </si>
  <si>
    <t>bankToBankInstructions</t>
  </si>
  <si>
    <t>beneficiaryType</t>
  </si>
  <si>
    <t>Beneficiary Type._x000D_
Required to save.</t>
  </si>
  <si>
    <t>codeTable: Beneficiary Type</t>
  </si>
  <si>
    <t>beneficiaryInformation</t>
  </si>
  <si>
    <t>Beneficiary Information._x000D_
Required to save.</t>
  </si>
  <si>
    <t>Remittance Instruction Method – Check</t>
  </si>
  <si>
    <t>addressInstructions</t>
  </si>
  <si>
    <t>Required to save.</t>
  </si>
  <si>
    <t>Remittance Instruction Method – DDA</t>
  </si>
  <si>
    <t>ddaAccountName</t>
  </si>
  <si>
    <t>DDA Account Name.</t>
  </si>
  <si>
    <t>ddaAccountId</t>
  </si>
  <si>
    <t>DDA Account Number.</t>
  </si>
  <si>
    <t>Remittance Instruction Method – Federal Reserve</t>
  </si>
  <si>
    <t>abaNumber</t>
  </si>
  <si>
    <t>American Bankers Association Number._x000D_
Validation: Required to save. The value must be among the active codes maintained in online Loan IQ.</t>
  </si>
  <si>
    <t>codeTable: Federal American Bankers Association</t>
  </si>
  <si>
    <t>Bank to Bank Instructions</t>
  </si>
  <si>
    <t>beneficiaryAccount</t>
  </si>
  <si>
    <t>Beneficiary Account Number_x000D_
Validation: Required to save.</t>
  </si>
  <si>
    <t>Beneficiary Type_x000D_
Validation: Required to save.</t>
  </si>
  <si>
    <t>Remittance Instruction Method – IMT</t>
  </si>
  <si>
    <t>At least one IMT message is to be selected from the list of available messages. Required to save.</t>
  </si>
  <si>
    <t>imtThreshold</t>
  </si>
  <si>
    <t xml:space="preserve">Notice To Receive Threshold._x000D_
Threshold amount, which is the minimum value of the transaction for which an MT210-Notice to Receive is required. Amount is displayed in the currency of the Remittance Instruction. </t>
  </si>
  <si>
    <t>Defaults to 0.00.</t>
  </si>
  <si>
    <t>useSendersCorrespondentForReceiver</t>
  </si>
  <si>
    <t>Use Senders Correspondent For Receiver_x000D_
Only applicable to Non-Host Bank IMT Messages.</t>
  </si>
  <si>
    <t>imtFaxText</t>
  </si>
  <si>
    <t>IMT Fax Text_x000D_
Summary for Notices.</t>
  </si>
  <si>
    <t>Remittance Instruction Method – Local Clearing</t>
  </si>
  <si>
    <t>clearingNumber</t>
  </si>
  <si>
    <t>Local Clearing Number_x000D_
Required to save.</t>
  </si>
  <si>
    <t>codeTable: Local Clearing Number</t>
  </si>
  <si>
    <t>chipsUID</t>
  </si>
  <si>
    <t>Local Clearing UID</t>
  </si>
  <si>
    <t>Beneficiary Account Number_x000D_
Required to save.</t>
  </si>
  <si>
    <t>Beneficiary Type_x000D_
Required to save.</t>
  </si>
  <si>
    <t>Remittance Instruction Method – Nostro</t>
  </si>
  <si>
    <t>nostroAccountNumber</t>
  </si>
  <si>
    <t>Nostro Account Number_x000D_
Required to save.</t>
  </si>
  <si>
    <t>Beneficiary Information_x000D_
Required to save.</t>
  </si>
  <si>
    <t>nostroPaymentNotificationType</t>
  </si>
  <si>
    <t>Advice Type_x000D_
Indicates whether the notification type is SWIFT or Telex.</t>
  </si>
  <si>
    <t>swiftBankIdentificationCode</t>
  </si>
  <si>
    <t>Swift Bank Identification Code_x000D_
Required if SWIFT Advice is selected.</t>
  </si>
  <si>
    <t>codeTable: Swift Bank ID</t>
  </si>
  <si>
    <t>telexDialDigits</t>
  </si>
  <si>
    <t>Telex Dial Digits_x000D_
Required if Telex is selected.</t>
  </si>
  <si>
    <t>telexAnswerBack</t>
  </si>
  <si>
    <t xml:space="preserve">Telex Answer Back_x000D_
Required if Telex is selected. User may enter a free-form Answer Bank # which is not validated. </t>
  </si>
  <si>
    <t>Remittance Instruction Method – SWIFT</t>
  </si>
  <si>
    <t>Use Senders Correspondent For Receiver_x000D_
Only applicable to Non-Host Bank IMT Messages. User must either check Use Senders Correspondent for Receiver Indicator or Receiver must be defined._x000D_
Validations: If the Use Sender's Correspondent for Receiver indicator is checked on the destination IMT Remittance Instruction, Loan IQ writes both a Receiver and Sender’s Correspondent to the Queue Record._x000D_
The Sender's Correspondent is still written regardless of whether the Use Sender's Correspondent for Receiver indicator is checked.</t>
  </si>
  <si>
    <t>instructionCode</t>
  </si>
  <si>
    <t xml:space="preserve">Instruction Code_x000D_
Applicable only to MT104. </t>
  </si>
  <si>
    <t>codeTable: Swift Instruction Code</t>
  </si>
  <si>
    <t>otherInstructions</t>
  </si>
  <si>
    <t>Other Instructions_x000D_
Applicable only to MT104, and is required when instructionCode is Other.</t>
  </si>
  <si>
    <t>registrationReference</t>
  </si>
  <si>
    <t xml:space="preserve">Registration Reference_x000D_
Applicable only to MT104. </t>
  </si>
  <si>
    <t>detailsOfChargesCode</t>
  </si>
  <si>
    <t>Details of Charges Code_x000D_
Applicable only to MT100, MT103. Drop down list contains 3 choices: Beneficiary Customer, Ordering Customer and Shared.</t>
  </si>
  <si>
    <t>codeTable: Details Of Charges</t>
  </si>
  <si>
    <t>detailsOfPayment</t>
  </si>
  <si>
    <t xml:space="preserve">Details of Payment_x000D_
Applicable only to MT100, MT104, MT202, and MT210. </t>
  </si>
  <si>
    <t>narrative</t>
  </si>
  <si>
    <t>Narrative_x000D_
Applicable only to MT199, MT299, TLXNR, and TLXPA.</t>
  </si>
  <si>
    <t>senderToReceiverInformation</t>
  </si>
  <si>
    <t>Sender to Receiver Information.</t>
  </si>
  <si>
    <t>Remittance Instruction Method – TELEX</t>
  </si>
  <si>
    <t>Description of the Remittance Instruction_x000D_
Default value is Custom. Can be modified the user. _x000D_
Validation: Must be unique within the specified Profile/Location.</t>
  </si>
  <si>
    <t>telexNumber</t>
  </si>
  <si>
    <t>Telex Number.</t>
  </si>
  <si>
    <t>answerBack</t>
  </si>
  <si>
    <t>Answer Back.</t>
  </si>
  <si>
    <t>Narrative</t>
  </si>
  <si>
    <t>&lt;CustomRemittanceInstruction&gt;&lt;IMTRemittanceInstructionMessage&gt;</t>
  </si>
  <si>
    <t>Answer Back_x000D_
User may enter a free-form Answer Bank # which is not validated.</t>
  </si>
  <si>
    <t>bankOperationCode</t>
  </si>
  <si>
    <t>Bank Operation Code_x000D_
Applicable only to MT103.</t>
  </si>
  <si>
    <t>codeTable: Bank Operation Code</t>
  </si>
  <si>
    <t>Description of the Remittance Instruction_x000D_
Defaults to Custom. Can be modified by the user. _x000D_
Validation: Must be unique within the specified Profile/Location.</t>
  </si>
  <si>
    <t>Details of Charges Code_x000D_
Applicable only to MT100, MT103. Online drop down list contains three choices: Beneficiary Customer, Ordering Customer, and Shared.</t>
  </si>
  <si>
    <t>Details of Payment_x000D_
Applicable only to MT100, MT104, MT202, and MT210l.</t>
  </si>
  <si>
    <t>Instruction Code_x000D_
Applicable only to MT104.</t>
  </si>
  <si>
    <t>Narrative_x000D_
Applicable only to MT199, MT299, TLXNR, and TLXPA, and is optional. Free form text field of 35 lines and 50 characters per line.</t>
  </si>
  <si>
    <t>orderingCustomer</t>
  </si>
  <si>
    <t>Ordering Customer</t>
  </si>
  <si>
    <t xml:space="preserve">Other Instructions_x000D_
Applicable only to MT104. This is required when instructionCode is Other. </t>
  </si>
  <si>
    <t>Sender to Receiver Information</t>
  </si>
  <si>
    <t>swiftMessageType</t>
  </si>
  <si>
    <t>Swift Message Type_x000D_
Must be a valid message type.</t>
  </si>
  <si>
    <t>codeTable: Swift Message Type</t>
  </si>
  <si>
    <t>Telex Number_x000D_
A free-form field which is not validated, and is not masked.</t>
  </si>
  <si>
    <t>Use Senders Correspondent For Receiver_x000D_
Only applicable to Non-Host Bank IMT Messages._x000D_
Validations: User must either check Use Senders Correspondent for Receiver Indicator or Receiver must be defined.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</si>
  <si>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&lt;CustomRemittanceInstruction&gt;&lt;IMTRemittanceInstructionMessage&gt;&lt;SwiftRole&gt;</t>
  </si>
  <si>
    <t>accountNumber</t>
  </si>
  <si>
    <t>Account Number_x000D_
Optional field for SWIFT messages. Free Form entry that is not validated, (maximum of 20 characters) and is not ‘masked’.</t>
  </si>
  <si>
    <t>Answer Back_x000D_
User may enter a free-form Answer Back number which is not validated.</t>
  </si>
  <si>
    <t>Defaults to Custom</t>
  </si>
  <si>
    <t>localClearingCode</t>
  </si>
  <si>
    <t>Local Clearing Code_x000D_
The code associated with the localClearingType.</t>
  </si>
  <si>
    <t>localClearingType</t>
  </si>
  <si>
    <t>Local Clearing Type_x000D_
Defines the Local Clearing Types to be used to set up Payment Methods that clear locally, such as CHIPS in the U.S. and CHAPS in the U.K., etc._x000D_
Validation: Must be an existing entry.</t>
  </si>
  <si>
    <t>roleTypeCode</t>
  </si>
  <si>
    <t>SWIFT Role Type Code_x000D_
Applicable to the following messages:_x000D_
Message Default_x000D_
MT100 – Beneficiary Customer_x000D_
MT104 – None_x000D_
MT199 – None_x000D_
MT202 – None_x000D_
MT210 – Ordering Institution_x000D_
MT299 – None._x000D_
Note: There is no default SWIFT Role when Customer is a Host Bank Entity._x000D_
Validation: SWIFT Roles are applicable to all messages except TLXNR – Notice to Receiver, and TLXPA – Payment Advice.</t>
  </si>
  <si>
    <t>codeTable: Swift Role Type</t>
  </si>
  <si>
    <t>Telex Number_x000D_
Free Form text entry that is only applicable to TLXNR–Notice to Receive and TLXPA-Payment Advice Messages.</t>
  </si>
  <si>
    <t>swiftId</t>
  </si>
  <si>
    <t>Swift ID_x000D_
Validation: Either a Swift ID or a free-form Description must be entered in order to save the instruction.</t>
  </si>
  <si>
    <t>CashflowRemittanceInstruction</t>
  </si>
  <si>
    <t>customerExternalId</t>
  </si>
  <si>
    <t>External ID of the customer for whom the Cashflow Remittance Instruction must be set at the Outstanding level._x000D_
Validation: The value passed in this field must match the External ID of a valid Borrower/Lender for the Outstanding. If an invalid value is passed in this field, the API fails and returns an error.</t>
  </si>
  <si>
    <t>remittanceInstructionDescription</t>
  </si>
  <si>
    <t>The Remittance Instruction that needs to be added._x000D_
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</si>
  <si>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The Servicing Group Alias pertaining to the customer._x000D_
Validation: A valid Servicing Group Alias for the customer whose ID is passed in the customerExternalId field, must be passed in this field.</t>
  </si>
  <si>
    <t>SLMHostBankLenderShare</t>
  </si>
  <si>
    <t>shareAmt</t>
  </si>
  <si>
    <t>Host Bank Share amount submitted by SLM._x000D_
If submitted, this amount replaces the Loan IQ calculated amount for Host Bank Lender Share in the transaction, if the amount is flagged as non Prorata by SLM. If it is Prorata, then it must meet the threshold validation.</t>
  </si>
  <si>
    <t>This applies only to the separately licensed SLM Interface functionality. Hence  putting it as out of scope.</t>
  </si>
  <si>
    <t>External Customer ID._x000D_
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</si>
  <si>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 xml:space="preserve">CancelLoanPrincipalPayment: A cancel call simply cancels a transaction </t>
  </si>
  <si>
    <t xml:space="preserve">All derivation logic &amp; validations that are currently done in ONLINE Loan IQ for this workflow item should be applicale for this API as well. </t>
  </si>
  <si>
    <t>If the current status of the transaction must be ‘Pending, ‘Awaiting Send to Approval’, ‘Awaiting Approval’, or Awaiting Release</t>
  </si>
  <si>
    <t>Sl No.</t>
  </si>
  <si>
    <t>Attribute Category</t>
  </si>
  <si>
    <t>Multiple instances allowed for Attribute Category (Y/N)</t>
  </si>
  <si>
    <t>Attribute Category Required (Y/N)</t>
  </si>
  <si>
    <t>Attriute Field Name</t>
  </si>
  <si>
    <t>Data Type</t>
  </si>
  <si>
    <t>Required (Y/N)</t>
  </si>
  <si>
    <t>Description and Validation</t>
  </si>
  <si>
    <t xml:space="preserve">Attribute Existing in SOAP API  (Y/N) </t>
  </si>
  <si>
    <t>Validation: Identifies an existing loan principal payment</t>
  </si>
  <si>
    <t>OutstandingTransactionAsReturnValue</t>
  </si>
  <si>
    <t>Date/Time</t>
  </si>
  <si>
    <t>EnquireLoanPrincipalPayment : All the Principal payments meeting the below specfied search criteria.</t>
  </si>
  <si>
    <t>Size</t>
  </si>
  <si>
    <t xml:space="preserve">Attribute Existing in ONLINE  (Y/N) </t>
  </si>
  <si>
    <t>dealName</t>
  </si>
  <si>
    <t>Contains, Wildcard possible</t>
  </si>
  <si>
    <t>facilityName</t>
  </si>
  <si>
    <t>loanAttributes</t>
  </si>
  <si>
    <t>Exact matching values expected, RID must be entered</t>
  </si>
  <si>
    <t>loanMaturityDateRangeFrom</t>
  </si>
  <si>
    <t>&lt;,&gt;,=, Loan maturity date range. Both dates should be inclusive.</t>
  </si>
  <si>
    <t>loanMaturityDateRangeTo</t>
  </si>
  <si>
    <t>principalPaymentAttributes</t>
  </si>
  <si>
    <t>Exact matching value expected. It's a drawdown Id for Loan Principal Payment.</t>
  </si>
  <si>
    <t>currencyCode</t>
  </si>
  <si>
    <t>List</t>
  </si>
  <si>
    <t>List, Multi-select, Loan Principal Payment Currency</t>
  </si>
  <si>
    <t>Currency</t>
  </si>
  <si>
    <t xml:space="preserve">minimumRequestedAmount </t>
  </si>
  <si>
    <t xml:space="preserve">Numeric </t>
  </si>
  <si>
    <t>&lt;,&gt;,=, This the Requested Amount for the Principal Payment</t>
  </si>
  <si>
    <t xml:space="preserve">maximumRequestedAmount </t>
  </si>
  <si>
    <t>creationDateRangeFrom</t>
  </si>
  <si>
    <t>&lt;,&gt;,=, Loan Principal Payment Creation Date Range when principal payment is created</t>
  </si>
  <si>
    <t>creationDateRangeTo</t>
  </si>
  <si>
    <t>effectiveDateRangeFrom</t>
  </si>
  <si>
    <t>&lt;,&gt;,=, Loan PrincipalPayment Effective Date Range</t>
  </si>
  <si>
    <t>effectiveEndDateRangeTo</t>
  </si>
  <si>
    <t>statusCode</t>
  </si>
  <si>
    <t>List, Multi-select, Code needs to be selected from Source system and passed as input</t>
  </si>
  <si>
    <t>Object State</t>
  </si>
  <si>
    <t>reason</t>
  </si>
  <si>
    <t>Transaction Description</t>
  </si>
  <si>
    <t>User can pass values for all or any of the above fields. API should return the Output details for the Loan Transactions meeting the above specfied search criteria.</t>
  </si>
  <si>
    <t>success</t>
  </si>
  <si>
    <t>success = ‘true’/'false'</t>
  </si>
  <si>
    <t>Deal Name</t>
  </si>
  <si>
    <t>Facility name</t>
  </si>
  <si>
    <t>borrowerName</t>
  </si>
  <si>
    <t>Borrower name</t>
  </si>
  <si>
    <t>loanDetails</t>
  </si>
  <si>
    <t>Original Outstanding Alias</t>
  </si>
  <si>
    <t>principalPaymentDetails</t>
  </si>
  <si>
    <t>The requested amount of the outstanding transaction.</t>
  </si>
  <si>
    <t>actualAmount</t>
  </si>
  <si>
    <t>The actual amount of the outstanding transaction.</t>
  </si>
  <si>
    <t>currency</t>
  </si>
  <si>
    <t>The effective date of the transaction.</t>
  </si>
  <si>
    <t>Current status of the Transaction</t>
  </si>
  <si>
    <t>List of Loan Transaction RID's Matching the specified criteria. It's a drawdown Id for Loan Principal Payment.</t>
  </si>
  <si>
    <t>pricingOption</t>
  </si>
  <si>
    <t>List of Pricing Options available</t>
  </si>
  <si>
    <t>creationDate</t>
  </si>
  <si>
    <t>message</t>
  </si>
  <si>
    <t>API_Name&gt;&gt;Message</t>
  </si>
  <si>
    <t>For Output of GetByID</t>
  </si>
  <si>
    <t>Comments</t>
  </si>
  <si>
    <t>proRata</t>
  </si>
  <si>
    <t>Note: This applies only to the separately licensed SLM Interface functionality._x000D_
Required if SLM host bank shares are being passed._x000D_
Indicates whether or not the Host Bank shares are Prorata or not._x000D_
Validation: If the message from the API is not prorate, the threshold should be ignored and the SLM amount is used regardless of the threshold._x000D_
If the message from the API is prorate, the system uses the threshold to validate the amount passed from the API and follow the regular threshold validations as stated above._x000D_
Not applicable to Accrual Payments.</t>
  </si>
  <si>
    <t>Since SLM Host bank functionality is not being supported for now, and also it is not a persistant field. Need a separate API for this.</t>
  </si>
  <si>
    <t>failOnPartialSuccessMode</t>
  </si>
  <si>
    <t>Non-persistant in Loan IQ</t>
  </si>
  <si>
    <t>borrowerRemittanceInstruction</t>
  </si>
  <si>
    <t>The approved borrower remittance instructions</t>
  </si>
  <si>
    <t>Non-persistant in Loan IQ in Pending state</t>
  </si>
  <si>
    <t>Not supported in Pending state</t>
  </si>
  <si>
    <t xml:space="preserve">nonCashPrincipalPaydown </t>
  </si>
  <si>
    <t>Note: This field applies only to the separately licensed Update All Payment APIs to Include Payment Method functionality._x000D_
Indicates whether the Principal Pay Down is Cash or Non-cash. The value for this field comes from the portal._x000D_
Validations: When the value of the NonCashPrincipalPayDown field is ‘Y’, the value of the borrowerRemittanceInstruction field defaults to the description of the remittance instruction in the Value field of the system parameter Non Cash Principal Paydown Remittance (NCPPR). This value is then displayed as the description on the Remittance Instruction Detail window for an existing Active Agent Remittance Instruction and must be valid for the payment being made. That is, the parameter must have the Principal indicator selected on the Remittance Instruction Detail window._x000D_
When a remittance instruction is passed by the API, but is not valid for the payment type (Principal), the payment is rejected by the API.</t>
  </si>
  <si>
    <t>RefusalAllowedIndicator</t>
  </si>
  <si>
    <t>Non-existing in current API</t>
  </si>
  <si>
    <t>applyToEarliestItem</t>
  </si>
  <si>
    <t>For Input of Create call</t>
  </si>
  <si>
    <t>Type</t>
  </si>
  <si>
    <t>Present in TRANSACT ()</t>
  </si>
  <si>
    <t>In REST API there is no partial commit, either full execution of failure</t>
  </si>
  <si>
    <t>The approved borrower remittance instructions_x000D_
Validation: Where a value is passed it must reference the Description on the Remittance Instruction Detail Screen for an existing Active Borrower Remittance Instruction which must be valid for the Payment being made (it must have either the Principal or Interest indicator checked on the Remittance Instruction Detail Screen)._x000D_
Note: Where a Remittance Instruction is passed by the API, and is valid for the payment type (Principal or Interest), it will take precedence over any instructions that currently exist for the Loan. Where a Remittance Instruction is passed by the API, but is not valid for the payment type (Principal or Interest) the Payment will be rejected by the API and the existing Remittance Instructions for the Loan will not be used.</t>
  </si>
  <si>
    <t>Non-persistant in Loan IQ in Pending state, saved when cashflows are created</t>
  </si>
  <si>
    <t>The value for this field comes from the portal. Also it is non-persistant in the database.</t>
  </si>
  <si>
    <t>unchecked</t>
  </si>
  <si>
    <t>Optional. Status Code. The valid status codes are as follows:_x000D_
PEND_x000D_
·         AWSTA_x000D_
·         AWA_x000D_
·         AWARS_x000D_
·         APPRV_x000D_
·         LWREL_x000D_
·         AUTOR_x000D_
·         RELSD</t>
  </si>
  <si>
    <t>Technical issues, hence not supporting</t>
  </si>
  <si>
    <t>For Input of Update call</t>
  </si>
  <si>
    <t>Note: This applies only to the separately licensed SLM Interface functionality._x000D_
Required if SLM host bank shares are being passed._x000D_
Indicates whether or not the Host Bank shares are Prorata or not._x000D_
Validation: If the message from the API is not Prorata, the threshold should be ignored and the SLM amount is used regardless of the threshold._x000D_
If the message from the API is Prorata, the system uses the threshold to validate the amount passed from the API and follow the regular threshold validations as stated above._x000D_
Not applicable to Accrual Payments.</t>
  </si>
  <si>
    <t>If passed, status of the transaction will be changed to the status being passed. If no status is passed, the transaction will remain in its current status. _x000D_
Notes: _x000D_
•	The valid status codes are as follows:_x000D_
PEND_x000D_
o	AWSTA_x000D_
o	AWA_x000D_
o	AWARS_x000D_
o	APPRV_x000D_
o	LWREL_x000D_
o	AUTOR_x000D_
o	RELSD_x000D_
•	The status of released cannot be passed if the Effective Date of the pending transaction is in the future. _x000D_
•	The following status code values are accepted by Loan IQ as per the enhancement - Auto-Release Functionality for Unscheduled Transactions and Event Fees:_x000D_
o	LWREL – Awaiting Release_x000D_
o	AUTOR – Awaiting Auto-Release</t>
  </si>
  <si>
    <t>Out of scope Sub-Elements for Create</t>
  </si>
  <si>
    <t>SubElement:TweakedShares</t>
  </si>
  <si>
    <t>SubElement: CustomRemittanceInstruction</t>
  </si>
  <si>
    <t>SubElement: OngoingFeeDates</t>
  </si>
  <si>
    <t>SubElement: OutstandingOngoingFeePricing</t>
  </si>
  <si>
    <t>SubElement: CashflowRemittanceInstruction</t>
  </si>
  <si>
    <t xml:space="preserve">Subelement: SLMHostBankLenderShares </t>
  </si>
  <si>
    <t>Out of scope Sub-Elements for Update</t>
  </si>
  <si>
    <t>Loan Change Transaction: API to initiate a Loan Change Transaction</t>
  </si>
  <si>
    <t>Onliy Fields that can be changed via the Loan Change Transaction should have been marked as Protected Fields</t>
  </si>
  <si>
    <t>P</t>
  </si>
  <si>
    <t>Validation</t>
  </si>
  <si>
    <t>Applicale for Loans, Repos, Deposits?</t>
  </si>
  <si>
    <t>Applicable for SBLC?</t>
  </si>
  <si>
    <t>LoanRID/OID</t>
  </si>
  <si>
    <t>Validation: Must exist in the system</t>
  </si>
  <si>
    <t>armPlan</t>
  </si>
  <si>
    <t>COLL</t>
  </si>
  <si>
    <t>ARM Plan Details</t>
  </si>
  <si>
    <t>additionalFields</t>
  </si>
  <si>
    <t>Additional Fields</t>
  </si>
  <si>
    <t>allInRateCap</t>
  </si>
  <si>
    <t>RATE</t>
  </si>
  <si>
    <t>All-In Rate Cap</t>
  </si>
  <si>
    <t>allInRateCapHistoryOverridden</t>
  </si>
  <si>
    <t>BOOL</t>
  </si>
  <si>
    <t>All-In Rate Cap Overridden</t>
  </si>
  <si>
    <t>allInRateFloor</t>
  </si>
  <si>
    <t>All-In Rate Floor</t>
  </si>
  <si>
    <t>allInRateFloorHistoryOverridden</t>
  </si>
  <si>
    <t>All-In Rate Floor Overridden</t>
  </si>
  <si>
    <t>ablRules</t>
  </si>
  <si>
    <t>CODE</t>
  </si>
  <si>
    <t>Asset Based Lending Rules</t>
  </si>
  <si>
    <t>autoReduceOnExpiry</t>
  </si>
  <si>
    <t>Auto Reduce On Expiry</t>
  </si>
  <si>
    <t>autoExtensionFields</t>
  </si>
  <si>
    <t>Automatic Extension Fields</t>
  </si>
  <si>
    <t>Extension</t>
  </si>
  <si>
    <t>autoExtensionIndicator</t>
  </si>
  <si>
    <t>Automatically Extend</t>
  </si>
  <si>
    <t>floatRateStartDate</t>
  </si>
  <si>
    <t>DATE</t>
  </si>
  <si>
    <t>Base Float Rate Start Date</t>
  </si>
  <si>
    <t>baseRate</t>
  </si>
  <si>
    <t>Base Rate</t>
  </si>
  <si>
    <t>baseRateIsFixed</t>
  </si>
  <si>
    <t>Base Rate Fixed</t>
  </si>
  <si>
    <t>baseRateFloor</t>
  </si>
  <si>
    <t>Base Rate Floor</t>
  </si>
  <si>
    <t>baseRateScheduledChanges</t>
  </si>
  <si>
    <t>Base Rate Scheduled Changes</t>
  </si>
  <si>
    <t>billCareOfContactIndicator</t>
  </si>
  <si>
    <t>Bill Care Of Contact Indicator</t>
  </si>
  <si>
    <t>calendars</t>
  </si>
  <si>
    <t>Calendars</t>
  </si>
  <si>
    <t>contractID</t>
  </si>
  <si>
    <t>STR</t>
  </si>
  <si>
    <t>Contract ID</t>
  </si>
  <si>
    <t>impairmentStage</t>
  </si>
  <si>
    <t>Credit Risk Stage</t>
  </si>
  <si>
    <t>outstandingDDLPIDates</t>
  </si>
  <si>
    <t>DDLPI Dates</t>
  </si>
  <si>
    <t>Effective Date</t>
  </si>
  <si>
    <t>extensionIncrement</t>
  </si>
  <si>
    <t>INT</t>
  </si>
  <si>
    <t>Extension Increment</t>
  </si>
  <si>
    <t>extensionPeriod</t>
  </si>
  <si>
    <t>Extension Period</t>
  </si>
  <si>
    <t>feeOnIssuingBankShares</t>
  </si>
  <si>
    <t>feeOnIssuingBankSharesAccrualEndDate</t>
  </si>
  <si>
    <t>Fee On Issuing Bank Shares Accrual End Date</t>
  </si>
  <si>
    <t>feeOnIssuingBankSharesAccrualEndDateRule</t>
  </si>
  <si>
    <t>Fee On Issuing Bank Shares Accrual End Date Rule</t>
  </si>
  <si>
    <t>feeOnIssuingBankSharesAccrualPeriod</t>
  </si>
  <si>
    <t>Fee On Issuing Bank Shares Accrual Period</t>
  </si>
  <si>
    <t>feeOnIssuingBankSharesActualAccrualDateRule</t>
  </si>
  <si>
    <t>Fee On Issuing Bank Shares Actual Accrual Date Rule</t>
  </si>
  <si>
    <t>feeOnIssuingBankSharesActualDueDate</t>
  </si>
  <si>
    <t>Fee On Issuing Bank Shares Actual Due Date</t>
  </si>
  <si>
    <t>feeOnIssuingBankSharesAdjustedDueDate</t>
  </si>
  <si>
    <t>Fee On Issuing Bank Shares Adjusted Due Date</t>
  </si>
  <si>
    <t>feeOnIssuingBankSharesPayInAdvanceIndicator</t>
  </si>
  <si>
    <t>Fee On Issuing Bank Shares Pay In Advance</t>
  </si>
  <si>
    <t>Fee On Issuing Bank Shares Rate</t>
  </si>
  <si>
    <t>feeOnIssuingBankSharesSpecificBillingDayRule</t>
  </si>
  <si>
    <t>Fee On Issuing Bank Shares Specific Billing Day Rule</t>
  </si>
  <si>
    <t>feeOnIssuingBankSharesSynchronizeBillingIndicator</t>
  </si>
  <si>
    <t>Fee On Issuing Bank Shares Synchronize Billing</t>
  </si>
  <si>
    <t>feeOnlenderShares</t>
  </si>
  <si>
    <t>feeOnlenderSharesAccrualEndDate</t>
  </si>
  <si>
    <t>Fee On Lender Shares Accrual End Date</t>
  </si>
  <si>
    <t>feeOnlenderSharesAccrualEndDateRule</t>
  </si>
  <si>
    <t>Fee On Lender Shares Accrual End Date Rule</t>
  </si>
  <si>
    <t>feeOnlenderSharesAccrualPeriod</t>
  </si>
  <si>
    <t>Fee On Lender Shares Accrual Period</t>
  </si>
  <si>
    <t>feeOnlenderSharesActualAccrualDateRule</t>
  </si>
  <si>
    <t>Fee On Lender Shares Actual Accrual Date Rule</t>
  </si>
  <si>
    <t>feeOnlenderSharesActualDueDate</t>
  </si>
  <si>
    <t>Fee On Lender Shares Actual Due Date</t>
  </si>
  <si>
    <t>feeOnlenderSharesAdjustedDueDate</t>
  </si>
  <si>
    <t>Fee On Lender Shares Adjusted Due Date</t>
  </si>
  <si>
    <t>issuingFeeFloatRateStartDate</t>
  </si>
  <si>
    <t>Fee On Lender Shares Float Rate Start Date</t>
  </si>
  <si>
    <t>feeOnlenderSharesPayInAdvanceIndicator</t>
  </si>
  <si>
    <t>Fee On Lender Shares Pay In Advance</t>
  </si>
  <si>
    <t>feeOnLenderSharesRate</t>
  </si>
  <si>
    <t>Fee On Lender Shares Rate</t>
  </si>
  <si>
    <t>feeOnlenderSharesSpecificBillingDayRule</t>
  </si>
  <si>
    <t>Fee On Lender Shares Specific Billing Day Rule</t>
  </si>
  <si>
    <t>feeOnlenderSharesSynchronizeBillingIndicator</t>
  </si>
  <si>
    <t>Fee On Lender Shares Synchronize Billing</t>
  </si>
  <si>
    <t>finalExpiryDate</t>
  </si>
  <si>
    <t>Final Expiry Date</t>
  </si>
  <si>
    <t>flatAmountIndicatorForFeeOnIssuingBankShares</t>
  </si>
  <si>
    <t>Flat Amount Indicator for Fee on Issuing Bank Shares</t>
  </si>
  <si>
    <t>flatAmountIndicatorForFeeOnLenderShares</t>
  </si>
  <si>
    <t>Flat Amount Indicator for Fee on Lender Shares</t>
  </si>
  <si>
    <t>fxRevaluation</t>
  </si>
  <si>
    <t>fxRevaluationActualOccurrenceDate</t>
  </si>
  <si>
    <t>Fx Revaluation Actual Next Occurrence Date</t>
  </si>
  <si>
    <t>fxRevaluationAdjustedOccurrenceDate</t>
  </si>
  <si>
    <t>Fx Revaluation Adjusted Next Occurrence Date</t>
  </si>
  <si>
    <t>fxRevaluationEOMRule</t>
  </si>
  <si>
    <t>Fx Revaluation EOM Rule</t>
  </si>
  <si>
    <t>fxRevaluationEffectiveDate</t>
  </si>
  <si>
    <t>Fx Revaluation Effective Date</t>
  </si>
  <si>
    <t>fxRevaluationFrequency</t>
  </si>
  <si>
    <t>Fx Revaluation Frequency</t>
  </si>
  <si>
    <t>fxRevaluationNonBusinessDayRule</t>
  </si>
  <si>
    <t>Fx Revaluation Non Business Day Rule</t>
  </si>
  <si>
    <t>fxRevaluationSettings</t>
  </si>
  <si>
    <t>Fx Revaluation Settings</t>
  </si>
  <si>
    <t>guaranteeFeeRate</t>
  </si>
  <si>
    <t>Guarantee Fee Rate</t>
  </si>
  <si>
    <t>roundingRulesFractionInitialRate</t>
  </si>
  <si>
    <t>Initial Fraction Rate</t>
  </si>
  <si>
    <t>roundingRulesFractionRounding</t>
  </si>
  <si>
    <t>Initial Fraction Rounding Method</t>
  </si>
  <si>
    <t>interestDueUponRepricing</t>
  </si>
  <si>
    <t>Interest Due Upon Repricing</t>
  </si>
  <si>
    <t>interestStabilizationEffectiveDate</t>
  </si>
  <si>
    <t>Interest Stabilization Effective Date</t>
  </si>
  <si>
    <t>internalRiskRatings</t>
  </si>
  <si>
    <t>Internal Risk Ratings</t>
  </si>
  <si>
    <t>legacyBaseRateFloor</t>
  </si>
  <si>
    <t>Legacy Base Rate Floor</t>
  </si>
  <si>
    <t>loanAccrualValues</t>
  </si>
  <si>
    <t>Loan Accrual Values</t>
  </si>
  <si>
    <t>facilityCurrencyRate</t>
  </si>
  <si>
    <t>Loan Foreign Exchange Rate</t>
  </si>
  <si>
    <t>rateBasis</t>
  </si>
  <si>
    <t>Loan Rate Basis</t>
  </si>
  <si>
    <t>maturityDate</t>
  </si>
  <si>
    <t>Maturity Date</t>
  </si>
  <si>
    <t>minimumOrFlatAmountForFeeOnIssuingBankShares</t>
  </si>
  <si>
    <t>AMT</t>
  </si>
  <si>
    <t>Minimum/Flat Amount For Fee On Issuing Bank Shares</t>
  </si>
  <si>
    <t>minimumOrFlatAmountForFeeOnLenderShares</t>
  </si>
  <si>
    <t>Minimum/Flat Amount For Fee On Lender Shares</t>
  </si>
  <si>
    <t>missedPayment</t>
  </si>
  <si>
    <t>missedInterestPaymentDate</t>
  </si>
  <si>
    <t>Missed Interest Payment Date Change</t>
  </si>
  <si>
    <t>missedInterestPaymentField</t>
  </si>
  <si>
    <t>Missed Interest Payment Field Change</t>
  </si>
  <si>
    <t>missedInterestPaymentOption</t>
  </si>
  <si>
    <t>Missed Interest Payment Option Change</t>
  </si>
  <si>
    <t>missedPrincipalPaymentDate</t>
  </si>
  <si>
    <t>Missed Principal Payment Date Change</t>
  </si>
  <si>
    <t>missedPrincipalPaymentField</t>
  </si>
  <si>
    <t>Missed Principal Payment Field Change</t>
  </si>
  <si>
    <t>missedPrincipalPaymentOption</t>
  </si>
  <si>
    <t>Missed Principal Payment Option Change</t>
  </si>
  <si>
    <t>notificationPeriod</t>
  </si>
  <si>
    <t>Notification Period</t>
  </si>
  <si>
    <t>notificationReceived</t>
  </si>
  <si>
    <t>Notification Received</t>
  </si>
  <si>
    <t>borrowingBaseCollateralAccounts</t>
  </si>
  <si>
    <t>Outstanding Borrowing Base Collateral Accounts</t>
  </si>
  <si>
    <t>pastDuePricingDetails</t>
  </si>
  <si>
    <t>Past Due</t>
  </si>
  <si>
    <t>pastDueGraceDays</t>
  </si>
  <si>
    <t>Past Due Grace Days</t>
  </si>
  <si>
    <t>paymentMode</t>
  </si>
  <si>
    <t>Payment Mode</t>
  </si>
  <si>
    <t>penaltySpreadAllInRateCap</t>
  </si>
  <si>
    <t>Penalty Spread All-In Rate Cap</t>
  </si>
  <si>
    <t>penaltySpreadAllInRateFloor</t>
  </si>
  <si>
    <t>Penalty Spread All-In Rate Floor</t>
  </si>
  <si>
    <t>penaltySpread</t>
  </si>
  <si>
    <t>Penalty Spread Rate</t>
  </si>
  <si>
    <t>penaltySpreadStatus</t>
  </si>
  <si>
    <t>Penalty Spread Status</t>
  </si>
  <si>
    <t>percentOfRate</t>
  </si>
  <si>
    <t>percentOfRateFormula</t>
  </si>
  <si>
    <t>Percent of Rate Formula</t>
  </si>
  <si>
    <t>percentOfRateFormulaFields</t>
  </si>
  <si>
    <t>Percent of Rate Formula Fields</t>
  </si>
  <si>
    <t>percentOfRateFormulaUsage</t>
  </si>
  <si>
    <t>Percent of Rate Formula Usage</t>
  </si>
  <si>
    <t>pledgeCode</t>
  </si>
  <si>
    <t>Pledge Code</t>
  </si>
  <si>
    <t>racByLender</t>
  </si>
  <si>
    <t>racAppliesToLender</t>
  </si>
  <si>
    <t>RAC Applies to Lender</t>
  </si>
  <si>
    <t>racRateIsFixed</t>
  </si>
  <si>
    <t>RAC Rate Fixed</t>
  </si>
  <si>
    <t>RAC by Lender</t>
  </si>
  <si>
    <t>reinstatableIndicator</t>
  </si>
  <si>
    <t>Reinstatable Indicator</t>
  </si>
  <si>
    <t>repaymentScheduleSync</t>
  </si>
  <si>
    <t>Repayment Schedule Sync Indicator</t>
  </si>
  <si>
    <t>Repricing Anniversary Date/EOM Rule</t>
  </si>
  <si>
    <t>repricingAnniversaryDate</t>
  </si>
  <si>
    <t>Repricing Anniversary Date</t>
  </si>
  <si>
    <t>repricingAnniversaryDateApplies</t>
  </si>
  <si>
    <t>Repricing Anniversary Date Applies</t>
  </si>
  <si>
    <t>repricingAnniversaryDateEOMRule</t>
  </si>
  <si>
    <t>Repricing Anniversary Date EOM Rule</t>
  </si>
  <si>
    <t>reserveAssetCostRate</t>
  </si>
  <si>
    <t>Reserve Asset Cost Rate</t>
  </si>
  <si>
    <t>racRepricingDate</t>
  </si>
  <si>
    <t>Reserve Asset Cost Repricing Date</t>
  </si>
  <si>
    <t>riskType</t>
  </si>
  <si>
    <t>Risk Type</t>
  </si>
  <si>
    <t>roundingApplicationMethod</t>
  </si>
  <si>
    <t>Rounding Application Method</t>
  </si>
  <si>
    <t>roundingRulesDecimalPrecision</t>
  </si>
  <si>
    <t>Rounding Decimal Precision</t>
  </si>
  <si>
    <t>roundingRulesDecimalRounding</t>
  </si>
  <si>
    <t>Rounding Decimal Precision Method</t>
  </si>
  <si>
    <t>sblcAccrualValues</t>
  </si>
  <si>
    <t>SBLC Accrual Values</t>
  </si>
  <si>
    <t>enteredExpiryDate</t>
  </si>
  <si>
    <t>SBLC Expiry Date</t>
  </si>
  <si>
    <t>facingFeeRateBasis</t>
  </si>
  <si>
    <t>SBLC Fee On Issuing Bank Shares Rate Basis</t>
  </si>
  <si>
    <t>issuingFeeRateBasis</t>
  </si>
  <si>
    <t>SBLC Fee On Lender Shares Rate Basis</t>
  </si>
  <si>
    <t>SBLC Foreign Exchange Rate</t>
  </si>
  <si>
    <t>Separate Accrual Rules</t>
  </si>
  <si>
    <t>keepAccrualFeeInfoSeparateIndicator</t>
  </si>
  <si>
    <t>servicingFeeRate</t>
  </si>
  <si>
    <t>Servicing Fee Rate</t>
  </si>
  <si>
    <t>spread</t>
  </si>
  <si>
    <t>Spread</t>
  </si>
  <si>
    <t>spreadAdjustment</t>
  </si>
  <si>
    <t>Spread Adjustment</t>
  </si>
  <si>
    <t>spreadAdjMatrixList</t>
  </si>
  <si>
    <t>Spread Adjustment Matrix</t>
  </si>
  <si>
    <t>floatSpreadStartDate</t>
  </si>
  <si>
    <t>Spread Float Rate Start Date</t>
  </si>
  <si>
    <t>sublimit</t>
  </si>
  <si>
    <t>Sublimit</t>
  </si>
  <si>
    <t>subsidyAgency</t>
  </si>
  <si>
    <t>Subsidy Agency</t>
  </si>
  <si>
    <t>subsidyInterestRate</t>
  </si>
  <si>
    <t>Subsidy Interest Rate</t>
  </si>
  <si>
    <t>swapReceiveBaseRate</t>
  </si>
  <si>
    <t>Swap Receive Rate</t>
  </si>
  <si>
    <t>syncPrincipalAndRepricingDueDates</t>
  </si>
  <si>
    <t>Sync Principal and Repricing Due Dates</t>
  </si>
  <si>
    <t>interestScheduleForRepricingDates</t>
  </si>
  <si>
    <t>Use Interest Schedule For Repricing Dates</t>
  </si>
  <si>
    <t>Output</t>
  </si>
  <si>
    <t>OutstandingAsReturnValue</t>
  </si>
  <si>
    <t>status</t>
  </si>
  <si>
    <t>alias</t>
  </si>
  <si>
    <t>version</t>
  </si>
  <si>
    <t>transactionId</t>
  </si>
  <si>
    <t>Messages</t>
  </si>
  <si>
    <t>May be a tag / separate category for Error and Warning_x000D_
Error Messages and Warnings should be called out separately in a different tag.</t>
  </si>
  <si>
    <t>EventID</t>
  </si>
  <si>
    <t>Event ID RID</t>
  </si>
  <si>
    <t>Code</t>
  </si>
  <si>
    <t>ARMLN</t>
  </si>
  <si>
    <t>ADFLD</t>
  </si>
  <si>
    <t>RTCPR</t>
  </si>
  <si>
    <t>AIRCO</t>
  </si>
  <si>
    <t>RTFLR</t>
  </si>
  <si>
    <t>AIRFO</t>
  </si>
  <si>
    <t>ABLRS</t>
  </si>
  <si>
    <t>AREXP</t>
  </si>
  <si>
    <t>AUTEF</t>
  </si>
  <si>
    <t>AUTEX</t>
  </si>
  <si>
    <t>BAFLT</t>
  </si>
  <si>
    <t>BASRT</t>
  </si>
  <si>
    <t>BRFIX</t>
  </si>
  <si>
    <t>BSRTF</t>
  </si>
  <si>
    <t>BRSCH</t>
  </si>
  <si>
    <t>OCARO</t>
  </si>
  <si>
    <t>CLNDR</t>
  </si>
  <si>
    <t>CTRCT</t>
  </si>
  <si>
    <t>IMPST</t>
  </si>
  <si>
    <t>DDLPI</t>
  </si>
  <si>
    <t>EFFDT</t>
  </si>
  <si>
    <t>EXINC</t>
  </si>
  <si>
    <t>EXPER</t>
  </si>
  <si>
    <t>FIAED</t>
  </si>
  <si>
    <t>FIAER</t>
  </si>
  <si>
    <t>FIACP</t>
  </si>
  <si>
    <t>FIADR</t>
  </si>
  <si>
    <t>FIACD</t>
  </si>
  <si>
    <t>FIADD</t>
  </si>
  <si>
    <t>FIPAD</t>
  </si>
  <si>
    <t>FIBRT</t>
  </si>
  <si>
    <t>FISBR</t>
  </si>
  <si>
    <t>FISBL</t>
  </si>
  <si>
    <t>FLAED</t>
  </si>
  <si>
    <t>FLAER</t>
  </si>
  <si>
    <t>FLACP</t>
  </si>
  <si>
    <t>FLADR</t>
  </si>
  <si>
    <t>FLACD</t>
  </si>
  <si>
    <t>FLADD</t>
  </si>
  <si>
    <t>ISFLT</t>
  </si>
  <si>
    <t>FLPAD</t>
  </si>
  <si>
    <t>FLSRT</t>
  </si>
  <si>
    <t>FLSBR</t>
  </si>
  <si>
    <t>FLSBL</t>
  </si>
  <si>
    <t>FNEXP</t>
  </si>
  <si>
    <t>FLIIS</t>
  </si>
  <si>
    <t>FLIFL</t>
  </si>
  <si>
    <t>FACOD</t>
  </si>
  <si>
    <t>FADOD</t>
  </si>
  <si>
    <t>FEOMR</t>
  </si>
  <si>
    <t>FEDTE</t>
  </si>
  <si>
    <t>FXFRE</t>
  </si>
  <si>
    <t>FNBRL</t>
  </si>
  <si>
    <t>FXREV</t>
  </si>
  <si>
    <t>GFEE</t>
  </si>
  <si>
    <t>RDGIF</t>
  </si>
  <si>
    <t>RDGFM</t>
  </si>
  <si>
    <t>IDUR</t>
  </si>
  <si>
    <t>INSDT</t>
  </si>
  <si>
    <t>ORSRT</t>
  </si>
  <si>
    <t>LBRTF</t>
  </si>
  <si>
    <t>ACVAL</t>
  </si>
  <si>
    <t>LNFXR</t>
  </si>
  <si>
    <t>LNRTB</t>
  </si>
  <si>
    <t>MATDT</t>
  </si>
  <si>
    <t>MAMIS</t>
  </si>
  <si>
    <t>MAMFL</t>
  </si>
  <si>
    <t>MIPDC</t>
  </si>
  <si>
    <t>MIPFC</t>
  </si>
  <si>
    <t>MIPOC</t>
  </si>
  <si>
    <t>MPPDC</t>
  </si>
  <si>
    <t>MPPFC</t>
  </si>
  <si>
    <t>MPPOC</t>
  </si>
  <si>
    <t>NOPER</t>
  </si>
  <si>
    <t>NOREC</t>
  </si>
  <si>
    <t>OSTBB</t>
  </si>
  <si>
    <t>PSTDU</t>
  </si>
  <si>
    <t>PDGRD</t>
  </si>
  <si>
    <t>PAYMD</t>
  </si>
  <si>
    <t>PSCAP</t>
  </si>
  <si>
    <t>PSFLR</t>
  </si>
  <si>
    <t>PSRTE</t>
  </si>
  <si>
    <t>PSSTA</t>
  </si>
  <si>
    <t>PCTFA</t>
  </si>
  <si>
    <t>PCTRF</t>
  </si>
  <si>
    <t>PCTUS</t>
  </si>
  <si>
    <t>PLCDE</t>
  </si>
  <si>
    <t>RACAL</t>
  </si>
  <si>
    <t>RRFIX</t>
  </si>
  <si>
    <t>ORACL</t>
  </si>
  <si>
    <t>RINST</t>
  </si>
  <si>
    <t>RSILT</t>
  </si>
  <si>
    <t>RADTE</t>
  </si>
  <si>
    <t>RADTA</t>
  </si>
  <si>
    <t>RAEOM</t>
  </si>
  <si>
    <t>RADTR</t>
  </si>
  <si>
    <t>RACRT</t>
  </si>
  <si>
    <t>RACRD</t>
  </si>
  <si>
    <t>RSKTP</t>
  </si>
  <si>
    <t>RDGAM</t>
  </si>
  <si>
    <t>RDGDP</t>
  </si>
  <si>
    <t>RDGDM</t>
  </si>
  <si>
    <t>SAVAL</t>
  </si>
  <si>
    <t>LCEDT</t>
  </si>
  <si>
    <t>ISRTB</t>
  </si>
  <si>
    <t>LCRTB</t>
  </si>
  <si>
    <t>LCFXR</t>
  </si>
  <si>
    <t>SFACR</t>
  </si>
  <si>
    <t>SVFEE</t>
  </si>
  <si>
    <t>SPRED</t>
  </si>
  <si>
    <t>SPRAJ</t>
  </si>
  <si>
    <t>SPAJM</t>
  </si>
  <si>
    <t>SPFLT</t>
  </si>
  <si>
    <t>SUBLM</t>
  </si>
  <si>
    <t>SAGNC</t>
  </si>
  <si>
    <t>SIPRD</t>
  </si>
  <si>
    <t>SWRRT</t>
  </si>
  <si>
    <t>SPRDD</t>
  </si>
  <si>
    <t>ISDRD</t>
  </si>
  <si>
    <t/>
  </si>
  <si>
    <t>LiqAPIUpdateLoanPrincipalPayment</t>
  </si>
  <si>
    <t>UpdateLoanPrincipalPaymentIntegration</t>
  </si>
  <si>
    <t>UPDATABLE
(Applicable only For Update Calls, enter 'N" for Create and Query calls)</t>
  </si>
  <si>
    <t>IN_SOAP_API
(Enter 'Y' if the field is available in existing API Function class , and if it is a new field then enter N')</t>
  </si>
  <si>
    <t>MIN_SIZE
(attributes which have max size defined)</t>
  </si>
  <si>
    <t>The requested amount of the outstanding transaction.
Modifying the Requested amount creates an event.</t>
  </si>
  <si>
    <t>For a Loan, the transaction effective date cannot be prior to the Loan Effective Date, Facility Effective Date, or Borrower Effective Date and must be less than the Repricing Date if specified.
Effective date can be in the future but the transaction cannot be released prior to that date.</t>
  </si>
  <si>
    <t xml:space="preserve">This is Record ID of Principal Payment transaction intended to be updated. The RID and Effective date information will identify the Principal Payment transaction to be updated through update call.
Changed "LoanPrincipalPayment RID" to "loanTransactionId"
</t>
  </si>
  <si>
    <t>The unique client-defined name for the outstanding. This is an information only field and will be ignored in the Inputs here.</t>
  </si>
  <si>
    <t>The unique identifier for the outstanding. This is an information only field and will be ignored in the Inputs here.</t>
  </si>
  <si>
    <t>The date the institution that services the loan receives the Borrower's monthly installment. This institution is required to report this date to the client.
Validation: This functionality is applicable only when system parameter ITDPY – Include Transaction Date in Payments is set to Y.</t>
  </si>
  <si>
    <t>This field identifies the system that is calling the REST API.
This new attribute allows user to define the Source System in the Source System ID code table and use the same for mapping of transactions based on the Source System.</t>
  </si>
  <si>
    <t>Source System ID</t>
  </si>
  <si>
    <t>This field identifies the system that is calling the REST API.
This new attribute allows the user to define the Source Reference Number at the transaction level, so that the same is taken into considering when processing the transaction.</t>
  </si>
  <si>
    <t xml:space="preserve">Auto Reduce Facility
Indicates whether or not the auto reduce facility is applicable.
Validations: If Y is passed in this field, the facility commitment amount is reduced by the amount of 
the principal Payment. </t>
  </si>
  <si>
    <t>Unique ID of the Loan Transaction processed</t>
  </si>
  <si>
    <t>Timestamp immediately after the delete operation is performed.</t>
  </si>
  <si>
    <t>Exact matching values expected</t>
  </si>
  <si>
    <t>success = 'true'/'false'</t>
  </si>
  <si>
    <t>The unique client-defined name for the outstanding.</t>
  </si>
  <si>
    <t>StatusCode</t>
  </si>
  <si>
    <t>Current status of the transaction</t>
  </si>
  <si>
    <t>API_Name&gt;&gt;Message
All pertinant warnings and Errors shown in Loan IQ must be shown</t>
  </si>
  <si>
    <t>Required for Update call - Non Functional requirement for concurrency</t>
  </si>
  <si>
    <t>1. Optional free-text field; no mandatory validation applied.
2. Value must be a valid text string if provided.</t>
  </si>
  <si>
    <t>1. Accepted values are true or false.
2. When set to true, the loan is protected from online deletion by users.</t>
  </si>
  <si>
    <t>1. Applicable only when system parameter ITDPY (Include Transaction Date in Payments) is set to Y.
2. Value must be a valid date in the format YYYY-MM-DD.
3. Represents the date on which the institution receives the Borrower's monthly installment.</t>
  </si>
  <si>
    <t>1. Optional field; captures the source system reference identifier for the transaction.
2. Value is applied at transaction level and factored in during transaction processing.</t>
  </si>
  <si>
    <t>1. Accepted values are true or false.
2. When set to true, the facility commitment amount is automatically reduced by the principal payment amount.
3. Applicable only when the Auto Reduce Facility feature is configured for the loan.</t>
  </si>
  <si>
    <t>1. Returns true if the transaction was created successfully; returns false if processing failed.</t>
  </si>
  <si>
    <t>1. Returns a list of informational, warning, or error messages generated during transaction processing.</t>
  </si>
  <si>
    <t>1. Returns the unique Record ID (RID) of the newly created principal payment transaction.</t>
  </si>
  <si>
    <t>1. Returns the timestamp of when the transaction was processed in Loan IQ.</t>
  </si>
  <si>
    <t>1. Optional; provide only if the requested amount needs to be updated.
2. Value must be a valid numeric amount.
3. Modifying this field generates a new event in the system.</t>
  </si>
  <si>
    <t>1. Optional; provide only if the effective date needs to be updated.
2. Value must not be prior to the Loan Effective Date, Facility Effective Date, or Borrower Effective Date.
3. Value must be less than the Repricing Date, if specified.
4. A future effective date is permitted; however, the transaction cannot be released before that date.</t>
  </si>
  <si>
    <t>1. Field is mandatory; must be provided to identify the transaction to be updated.
2. Must be a valid and existing Principal Payment transaction RID in the system.
3. Used in combination with the effective date to uniquely identify the target transaction.</t>
  </si>
  <si>
    <t>1. Informational field only; value is not processed or validated during the update operation.</t>
  </si>
  <si>
    <t>1. Optional field; value must exist in the Source System ID code table if provided.
2. Identifies the source system initiating the API call.
3. Used for mapping transactions to their originating source system.</t>
  </si>
  <si>
    <t>1. Returns true if the transaction was updated successfully; returns false if processing failed.</t>
  </si>
  <si>
    <t>1. Returns a list of informational, warning, or error messages generated during the update processing.</t>
  </si>
  <si>
    <t>1. Returns the unique Record ID (RID) of the updated principal payment transaction.</t>
  </si>
  <si>
    <t>1. Returns the timestamp of when the update was processed in Loan IQ.</t>
  </si>
  <si>
    <t>1. Field is mandatory; must be provided to retrieve the transaction.
2. Must be a valid and existing Principal Payment transaction RID in the system.
3. Exact match is applied; partial matching is not supported.</t>
  </si>
  <si>
    <t>1. Returns true if the transaction record was retrieved successfully; returns false otherwise.</t>
  </si>
  <si>
    <t>1. Returns all warnings and errors generated in Loan IQ for the retrieved transaction.
2. Format: API_Name &gt;&gt; Message.</t>
  </si>
  <si>
    <t>1. Returns the timestamp of the last update applied to the transaction in Loan IQ.
2. This value must be included in the Update request payload to support concurrency control.</t>
  </si>
  <si>
    <t>1. Field is mandatory; must be provided to identify the transaction to be deleted.
2. Must be a valid and existing Principal Payment transaction RID in the system.
3. Transaction must be in a deletable state (not yet released or processed).</t>
  </si>
  <si>
    <t>1. Returns true if the transaction was deleted successfully; returns false if the deletion failed.</t>
  </si>
  <si>
    <t>1. Returns a list of informational, warning, or error messages generated during the delete operation.</t>
  </si>
  <si>
    <t>1. Returns the timestamp immediately after the delete operation was successfully executed.</t>
  </si>
  <si>
    <t>CreateLoanInterestPaymentIntegration</t>
  </si>
  <si>
    <t>prorationTypeCode</t>
  </si>
  <si>
    <t>cycleId</t>
  </si>
  <si>
    <t>applyToEarliestCycle</t>
  </si>
  <si>
    <t>smeSystemSourceId</t>
  </si>
  <si>
    <t>principalPaymentAmount</t>
  </si>
  <si>
    <t>BigDecimal</t>
  </si>
  <si>
    <t>Conditional</t>
  </si>
  <si>
    <t>The date the institution that services the loan receives the Borrower’s monthly installment. This institution is required to report this date to the client.
Validation: This functionality is applicable only when system parameter ITDPY – Include Transaction Date in Payments is set to Y.</t>
  </si>
  <si>
    <t>This field is used to select the cycle due or projected EOC due amount through API. The valid values are –
•	PCYCD: Projected Cycle Due
•	PNDCD: Projected Cycle Due With Pending
•	CYCLD: Cycle Due
•	ATLCD: Adjusted Cycle Due Thru Last Night
•	ATTCD: Adjusted Cycle Due Thru Tonight
•	LNDSH: Lender Shares (Prepay Cycle)
 •	INTPP (Pro Rate based on Principal) and INPPP (Pro Rate Shares Based on Partial Principal Prepayment
Notes: If the Proration Type is blank, then the system considers – 
•	The Cycle Due for non-zero Borrower Accrual Cycle due amount, and
•	Lender Shares (Prepay Cycle) for the zero Borrower Accrual Cycle due amount.</t>
  </si>
  <si>
    <t>Used to Identify the cycle</t>
  </si>
  <si>
    <t>Boolean Parameter to identify if this should be applied to the earliest cycle or not</t>
  </si>
  <si>
    <t>Attribute for Principal Payment Amount for INTPP (Pro Rate based on Principal) and INPPP (Pro Rate Shares Based on Partial Principal Prepayment) proration type code.
Notes:
•	The requestedAmount attribute is not mandatory for INTPP and INPPP proration types.
•	If the user enters principalPaymentAmount and requestedAmount for the INTPP/INPPP, then requestedAmount is taken into consideration.
•	If principalPaymentAmount and requestedAmount value is not provided for INTPP/INPPP, then the following error message is displayed:
Principal Payment Amount is required with this Proration Type Code 
•	If the user enters principalPaymentAmount for any other proration types other than INTPP and INPPP, then the following message is displayed:
Principal Payment Amount is not required with this Proration Type Code</t>
  </si>
  <si>
    <t>LiqAPICreateLoanInterestPaymentIntegrationAsReturnValue</t>
  </si>
  <si>
    <t>com.misys.liq.api.rest.data.outstanding.interest</t>
  </si>
  <si>
    <t>UpdateLoanInterestPaymentIntegration</t>
  </si>
  <si>
    <t>cycleStartDate</t>
  </si>
  <si>
    <t>LoanInterestPaymentIntegrationAsReturnValue</t>
  </si>
  <si>
    <t>DeleteLoanInterestPaymentIntegration</t>
  </si>
  <si>
    <t>GetLoanInterestPaymentIntegration</t>
  </si>
  <si>
    <t>LiqAPILoanInterestPaymentIntegrationAsReturnValue</t>
  </si>
  <si>
    <t>The requested amount of the Interest Payment.</t>
  </si>
  <si>
    <t>The effective date of the Interest Payment transaction.</t>
  </si>
  <si>
    <t>The unique RID for the outstanding.
Changed name "loanRID" to "loanId"</t>
  </si>
  <si>
    <t xml:space="preserve">The Start Date of the cycle for which Interest is being paid. </t>
  </si>
  <si>
    <t xml:space="preserve">The date the institution that services the loan receives the Borrower’s monthly installment. </t>
  </si>
  <si>
    <t>the cycle due or projected EOC due amount</t>
  </si>
  <si>
    <t xml:space="preserve"> the Source System in the Source System ID code table</t>
  </si>
  <si>
    <t>the Source Reference Number at the transaction level</t>
  </si>
  <si>
    <t xml:space="preserve">Principal Payment Amount </t>
  </si>
  <si>
    <t>List of RID's Matching the specified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</si>
</sst>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scheme val="minor"/>
    </font>
  </fonts>
  <fills count="6">
    <fill>
      <patternFill patternType="none"/>
    </fill>
    <fill>
      <patternFill patternType="gray125"/>
    </fill>
    <fill>
      <patternFill patternType="solid">
        <fgColor theme="4" tint="0.39997558519241921"/>
        <bgColor indexed="65"/>
      </patternFill>
    </fill>
    <fill>
      <patternFill patternType="solid">
        <fgColor theme="0" tint="-0.249977111117893"/>
        <bgColor indexed="65"/>
      </patternFill>
    </fill>
    <fill>
      <patternFill patternType="solid">
        <fgColor theme="7" tint="0.79998168889431442"/>
        <bgColor indexed="65"/>
      </patternFill>
    </fill>
    <fill>
      <patternFill patternType="solid">
        <f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1" fillId="2" borderId="1" xfId="0" applyFont="1" applyFill="1" applyBorder="1" applyAlignment="1">
      <alignment wrapText="1"/>
    </xf>
    <xf numFmtId="0" fontId="0" fillId="2" borderId="1" xfId="0" applyFill="1" applyBorder="1" applyAlignment="1">
      <alignment wrapText="1"/>
    </xf>
    <xf numFmtId="0" fontId="0" fillId="0" borderId="0" xfId="0" applyAlignment="1">
      <alignment wrapText="1"/>
    </xf>
    <xf numFmtId="0" fontId="1" fillId="3" borderId="1" xfId="0" applyFont="1" applyFill="1" applyBorder="1" applyAlignment="1">
      <alignment wrapText="1"/>
    </xf>
    <xf numFmtId="0" fontId="0" fillId="3" borderId="1" xfId="0" applyFill="1" applyBorder="1" applyAlignment="1">
      <alignment wrapText="1"/>
    </xf>
    <xf numFmtId="0" fontId="1" fillId="4" borderId="1" xfId="0" applyFont="1" applyFill="1" applyBorder="1" applyAlignment="1">
      <alignment wrapText="1"/>
    </xf>
    <xf numFmtId="0" fontId="0" fillId="4"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3" borderId="1" xfId="0" applyFill="1" applyBorder="1" applyAlignment="1">
      <alignment vertical="top" wrapText="1"/>
    </xf>
    <xf numFmtId="0" fontId="1" fillId="4" borderId="1" xfId="0" applyFont="1" applyFill="1" applyBorder="1" applyAlignment="1">
      <alignment vertical="top" wrapText="1"/>
    </xf>
    <xf numFmtId="0" fontId="0" fillId="4" borderId="1" xfId="0" applyFill="1" applyBorder="1" applyAlignment="1">
      <alignment vertical="top" wrapText="1"/>
    </xf>
    <xf numFmtId="0" fontId="1" fillId="4" borderId="1" xfId="0" applyFont="1" applyFill="1" applyBorder="1" applyAlignment="1">
      <alignment vertical="top" wrapText="1"/>
    </xf>
    <xf numFmtId="0" fontId="1" fillId="5" borderId="0" xfId="0" applyFont="1" applyFill="1" applyAlignment="1">
      <alignment horizontal="center" vertical="top" wrapText="1"/>
    </xf>
    <xf numFmtId="0" fontId="1" fillId="5" borderId="0" xfId="0" applyFont="1" applyFill="1" applyAlignment="1">
      <alignment vertical="top" wrapText="1"/>
    </xf>
    <xf numFmtId="0" fontId="0" fillId="0" borderId="0" xfId="0"/>
    <xf numFmtId="0" fontId="1" fillId="4" borderId="1" xfId="0" applyFont="1" applyFill="1" applyBorder="1" applyAlignment="1">
      <alignment wrapText="1"/>
    </xf>
    <xf numFmtId="0" fontId="0" fillId="4" borderId="1" xfId="0" applyFill="1" applyBorder="1" applyAlignment="1">
      <alignment wrapText="1"/>
    </xf>
    <xf numFmtId="0" fontId="1" fillId="5" borderId="0" xfId="0" applyFont="1" applyFill="1" applyAlignment="1">
      <alignment horizontal="center" wrapText="1"/>
    </xf>
    <xf numFmtId="0" fontId="0" fillId="5" borderId="0" xfId="0" applyFill="1" applyAlignment="1">
      <alignment horizontal="center" wrapText="1"/>
    </xf>
    <xf numFmtId="0" fontId="0" fillId="0" borderId="0" xfId="0" applyAlignment="1">
      <alignment vertical="top" wrapText="1"/>
    </xf>
    <xf numFmtId="0" fontId="0" fillId="5" borderId="0" xfId="0" applyFill="1" applyAlignment="1">
      <alignment horizontal="center" vertical="top" wrapText="1"/>
    </xf>
    <xf numFmtId="0" fontId="0" fillId="0" borderId="1" xfId="0" applyBorder="1" applyAlignment="1">
      <alignment horizontal="left"/>
    </xf>
    <xf numFmtId="0" fontId="0" fillId="0" borderId="1" xfId="0" applyBorder="1"/>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opLeftCell="A1048576" zoomScaleNormal="100" workbookViewId="0"/>
  </sheetViews>
  <sheetFormatPr defaultRowHeight="0" customHeight="1" zeroHeight="1" x14ac:dyDescent="0.25"/>
  <sheetData>
    <row r="1" spans="1:6" ht="15" x14ac:dyDescent="0.25">
      <c r="A1" t="s">
        <v>0</v>
      </c>
      <c r="B1" t="s">
        <v>1</v>
      </c>
      <c r="C1" t="s">
        <v>2</v>
      </c>
      <c r="D1" t="s">
        <v>3</v>
      </c>
      <c r="E1" t="s">
        <v>4</v>
      </c>
      <c r="F1" t="s">
        <v>5</v>
      </c>
    </row>
    <row r="2" spans="1:6" ht="15" x14ac:dyDescent="0.25">
      <c r="A2">
        <v>1</v>
      </c>
      <c r="B2" t="s">
        <v>6</v>
      </c>
      <c r="C2" t="s">
        <v>7</v>
      </c>
    </row>
    <row r="3" spans="1:6" ht="15" x14ac:dyDescent="0.25">
      <c r="A3">
        <f>A2+1</f>
        <v>2</v>
      </c>
      <c r="B3" t="s">
        <v>8</v>
      </c>
      <c r="C3" t="s">
        <v>9</v>
      </c>
    </row>
    <row r="4" spans="1:6" ht="15" x14ac:dyDescent="0.25">
      <c r="A4">
        <f>A3+1</f>
        <v>3</v>
      </c>
      <c r="B4" t="s">
        <v>10</v>
      </c>
      <c r="C4" t="s">
        <v>11</v>
      </c>
    </row>
    <row r="5" spans="1:6" ht="15" x14ac:dyDescent="0.25">
      <c r="A5">
        <f>A4+1</f>
        <v>4</v>
      </c>
      <c r="B5" t="s">
        <v>12</v>
      </c>
      <c r="C5" t="s">
        <v>13</v>
      </c>
    </row>
    <row r="6" spans="1:6" ht="15" x14ac:dyDescent="0.25">
      <c r="A6">
        <f>A5+1</f>
        <v>5</v>
      </c>
      <c r="B6" t="s">
        <v>14</v>
      </c>
      <c r="C6" t="s">
        <v>15</v>
      </c>
      <c r="D6" t="s">
        <v>16</v>
      </c>
    </row>
    <row r="7" spans="1:6" ht="15" x14ac:dyDescent="0.25">
      <c r="A7">
        <f>A6+1</f>
        <v>6</v>
      </c>
      <c r="B7" t="s">
        <v>17</v>
      </c>
      <c r="C7"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topLeftCell="A1048576" zoomScaleNormal="100" workbookViewId="0"/>
  </sheetViews>
  <sheetFormatPr defaultRowHeight="0" customHeight="1" zeroHeight="1" x14ac:dyDescent="0.25"/>
  <sheetData>
    <row r="1" spans="1:4" ht="15" x14ac:dyDescent="0.25">
      <c r="A1" t="s">
        <v>19</v>
      </c>
      <c r="B1" t="s">
        <v>20</v>
      </c>
      <c r="C1" t="s">
        <v>21</v>
      </c>
      <c r="D1" t="s">
        <v>22</v>
      </c>
    </row>
    <row r="2" spans="1:4" ht="15" x14ac:dyDescent="0.25">
      <c r="A2">
        <v>1</v>
      </c>
      <c r="B2" t="s">
        <v>23</v>
      </c>
      <c r="C2" t="s">
        <v>24</v>
      </c>
    </row>
    <row r="3" spans="1:4" ht="15" x14ac:dyDescent="0.25">
      <c r="A3">
        <v>1.1000000000000001</v>
      </c>
      <c r="B3" t="s">
        <v>23</v>
      </c>
      <c r="C3" t="s">
        <v>25</v>
      </c>
      <c r="D3">
        <v>45245</v>
      </c>
    </row>
    <row r="4" spans="1:4" ht="15" x14ac:dyDescent="0.25">
      <c r="A4">
        <v>1.2</v>
      </c>
      <c r="B4" t="s">
        <v>23</v>
      </c>
      <c r="C4" t="s">
        <v>26</v>
      </c>
      <c r="D4">
        <v>45259</v>
      </c>
    </row>
    <row r="5" spans="1:4" ht="15" x14ac:dyDescent="0.25">
      <c r="C5" t="s">
        <v>27</v>
      </c>
      <c r="D5">
        <v>45259</v>
      </c>
    </row>
    <row r="6" spans="1:4" ht="15" x14ac:dyDescent="0.25">
      <c r="C6" t="s">
        <v>28</v>
      </c>
      <c r="D6">
        <v>45259</v>
      </c>
    </row>
    <row r="7" spans="1:4" ht="15" x14ac:dyDescent="0.25">
      <c r="C7" t="s">
        <v>29</v>
      </c>
      <c r="D7">
        <v>45261</v>
      </c>
    </row>
    <row r="8" spans="1:4" ht="15" x14ac:dyDescent="0.25">
      <c r="A8" s="20">
        <v>1.3</v>
      </c>
      <c r="B8" s="20" t="s">
        <v>30</v>
      </c>
      <c r="C8" t="s">
        <v>31</v>
      </c>
      <c r="D8">
        <v>45275</v>
      </c>
    </row>
    <row r="9" spans="1:4" ht="15" x14ac:dyDescent="0.25">
      <c r="A9" s="20"/>
      <c r="B9" s="20"/>
      <c r="C9" t="s">
        <v>32</v>
      </c>
      <c r="D9">
        <f>D8</f>
        <v>45275</v>
      </c>
    </row>
    <row r="10" spans="1:4" ht="15" x14ac:dyDescent="0.25">
      <c r="A10" s="20"/>
      <c r="B10" s="20"/>
      <c r="C10" t="s">
        <v>33</v>
      </c>
      <c r="D10">
        <f>D9</f>
        <v>45275</v>
      </c>
    </row>
    <row r="11" spans="1:4" ht="15" x14ac:dyDescent="0.25">
      <c r="A11">
        <v>1.4</v>
      </c>
      <c r="B11" s="20" t="str">
        <f>B8</f>
        <v>Akanksha</v>
      </c>
      <c r="C11" t="s">
        <v>34</v>
      </c>
      <c r="D11">
        <v>45280</v>
      </c>
    </row>
    <row r="12" spans="1:4" ht="15" x14ac:dyDescent="0.25">
      <c r="A12">
        <v>1.5</v>
      </c>
      <c r="B12" s="20"/>
      <c r="C12" t="s">
        <v>35</v>
      </c>
      <c r="D12">
        <v>45299</v>
      </c>
    </row>
    <row r="13" spans="1:4" ht="15" x14ac:dyDescent="0.25">
      <c r="A13">
        <v>1.6</v>
      </c>
      <c r="B13" t="s">
        <v>23</v>
      </c>
      <c r="C13" t="s">
        <v>36</v>
      </c>
      <c r="D13">
        <v>45307</v>
      </c>
    </row>
    <row r="14" spans="1:4" ht="15" x14ac:dyDescent="0.25">
      <c r="A14">
        <v>1.7</v>
      </c>
      <c r="B14" s="20" t="s">
        <v>30</v>
      </c>
      <c r="C14" t="s">
        <v>37</v>
      </c>
      <c r="D14">
        <v>45310</v>
      </c>
    </row>
    <row r="15" spans="1:4" ht="15" x14ac:dyDescent="0.25">
      <c r="A15">
        <v>1.8</v>
      </c>
      <c r="B15" s="20"/>
      <c r="C15" t="s">
        <v>38</v>
      </c>
      <c r="D15">
        <v>45331</v>
      </c>
    </row>
    <row r="16" spans="1:4" ht="15" x14ac:dyDescent="0.25">
      <c r="A16">
        <v>1.9</v>
      </c>
      <c r="B16" s="20"/>
      <c r="C16" t="s">
        <v>39</v>
      </c>
      <c r="D16">
        <v>45335</v>
      </c>
    </row>
    <row r="17" spans="1:4" ht="15" x14ac:dyDescent="0.25">
      <c r="A17">
        <v>1.1000000000000001</v>
      </c>
      <c r="B17" s="20"/>
      <c r="C17" t="s">
        <v>40</v>
      </c>
      <c r="D17">
        <v>45350</v>
      </c>
    </row>
  </sheetData>
  <mergeCells count="4">
    <mergeCell ref="A8:A10"/>
    <mergeCell ref="B8:B10"/>
    <mergeCell ref="B11:B12"/>
    <mergeCell ref="B14: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1"/>
  <sheetViews>
    <sheetView zoomScaleNormal="100" workbookViewId="0">
      <selection activeCell="B12" sqref="B12"/>
    </sheetView>
  </sheetViews>
  <sheetFormatPr defaultColWidth="60.42578125" defaultRowHeight="15" x14ac:dyDescent="0.25"/>
  <cols>
    <col min="1" max="1" width="19.85546875" style="5" bestFit="1" customWidth="1"/>
    <col min="2" max="2" width="50.85546875" style="5" bestFit="1" customWidth="1"/>
    <col min="3" max="3" width="23.85546875" style="5" bestFit="1" customWidth="1"/>
    <col min="4" max="4" width="34.42578125" style="5" bestFit="1" customWidth="1"/>
    <col min="5" max="5" width="9.28515625" style="5" bestFit="1" customWidth="1"/>
    <col min="6" max="6" width="30.5703125" style="5" bestFit="1" customWidth="1"/>
    <col min="7" max="7" width="41.28515625" style="5" bestFit="1" customWidth="1"/>
    <col min="8" max="16384" width="60.42578125" style="5"/>
  </cols>
  <sheetData>
    <row r="1" spans="1:31" x14ac:dyDescent="0.25">
      <c r="A1" s="3" t="s">
        <v>41</v>
      </c>
      <c r="B1" s="4" t="s">
        <v>42</v>
      </c>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x14ac:dyDescent="0.25">
      <c r="A2" s="6" t="s">
        <v>43</v>
      </c>
      <c r="B2" s="7" t="s">
        <v>44</v>
      </c>
      <c r="C2" s="7"/>
      <c r="D2" s="7"/>
      <c r="E2" s="7"/>
      <c r="F2" s="7"/>
      <c r="G2" s="7"/>
      <c r="H2" s="7"/>
      <c r="I2" s="7"/>
      <c r="J2" s="7"/>
      <c r="K2" s="7"/>
      <c r="L2" s="7"/>
      <c r="M2" s="7"/>
      <c r="N2" s="7"/>
      <c r="O2" s="7"/>
      <c r="P2" s="7"/>
      <c r="Q2" s="7"/>
      <c r="R2" s="7"/>
      <c r="S2" s="7"/>
      <c r="T2" s="7"/>
      <c r="U2" s="7"/>
      <c r="V2" s="7"/>
      <c r="W2" s="7"/>
      <c r="X2" s="7"/>
      <c r="Y2" s="7"/>
      <c r="Z2" s="7"/>
      <c r="AA2" s="7"/>
      <c r="AB2" s="7"/>
      <c r="AC2" s="7"/>
      <c r="AD2" s="7"/>
      <c r="AE2" s="7"/>
    </row>
    <row r="3" spans="1:31" x14ac:dyDescent="0.25">
      <c r="A3" s="21" t="s">
        <v>45</v>
      </c>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1" x14ac:dyDescent="0.25">
      <c r="A4" s="8" t="s">
        <v>46</v>
      </c>
      <c r="B4" s="9" t="s">
        <v>47</v>
      </c>
      <c r="C4" s="9"/>
      <c r="D4" s="9"/>
      <c r="E4" s="9"/>
      <c r="F4" s="9"/>
      <c r="G4" s="9"/>
      <c r="H4" s="9"/>
      <c r="I4" s="9"/>
      <c r="J4" s="9"/>
      <c r="K4" s="9"/>
      <c r="L4" s="9"/>
      <c r="M4" s="9"/>
      <c r="N4" s="9"/>
      <c r="O4" s="9"/>
      <c r="P4" s="9"/>
      <c r="Q4" s="9"/>
      <c r="R4" s="9"/>
      <c r="S4" s="9"/>
      <c r="T4" s="9"/>
      <c r="U4" s="9"/>
      <c r="V4" s="9"/>
      <c r="W4" s="9"/>
      <c r="X4" s="9"/>
      <c r="Y4" s="9"/>
      <c r="Z4" s="9"/>
      <c r="AA4" s="9"/>
      <c r="AB4" s="9"/>
      <c r="AC4" s="9"/>
      <c r="AD4" s="9"/>
      <c r="AE4" s="9"/>
    </row>
    <row r="5" spans="1:31" x14ac:dyDescent="0.25">
      <c r="A5" s="8" t="s">
        <v>48</v>
      </c>
      <c r="B5" s="9" t="s">
        <v>49</v>
      </c>
      <c r="C5" s="9"/>
      <c r="D5" s="9"/>
      <c r="E5" s="9"/>
      <c r="F5" s="9"/>
      <c r="G5" s="9"/>
      <c r="H5" s="9"/>
      <c r="I5" s="9"/>
      <c r="J5" s="9"/>
      <c r="K5" s="9"/>
      <c r="L5" s="9"/>
      <c r="M5" s="9"/>
      <c r="N5" s="9"/>
      <c r="O5" s="9"/>
      <c r="P5" s="9"/>
      <c r="Q5" s="9"/>
      <c r="R5" s="9"/>
      <c r="S5" s="9"/>
      <c r="T5" s="9"/>
      <c r="U5" s="9"/>
      <c r="V5" s="9"/>
      <c r="W5" s="9"/>
      <c r="X5" s="9"/>
      <c r="Y5" s="9"/>
      <c r="Z5" s="9"/>
      <c r="AA5" s="9"/>
      <c r="AB5" s="9"/>
      <c r="AC5" s="9"/>
      <c r="AD5" s="9"/>
      <c r="AE5" s="9"/>
    </row>
    <row r="6" spans="1:31" x14ac:dyDescent="0.25">
      <c r="A6" s="8" t="s">
        <v>50</v>
      </c>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x14ac:dyDescent="0.25">
      <c r="A7" s="8" t="s">
        <v>51</v>
      </c>
      <c r="B7" s="9" t="s">
        <v>843</v>
      </c>
      <c r="C7" s="9"/>
      <c r="D7" s="9"/>
      <c r="E7" s="9"/>
      <c r="F7" s="9"/>
      <c r="G7" s="9"/>
      <c r="H7" s="9"/>
      <c r="I7" s="9"/>
      <c r="J7" s="9"/>
      <c r="K7" s="9"/>
      <c r="L7" s="9"/>
      <c r="M7" s="9"/>
      <c r="N7" s="9"/>
      <c r="O7" s="9"/>
      <c r="P7" s="9"/>
      <c r="Q7" s="9"/>
      <c r="R7" s="9"/>
      <c r="S7" s="9"/>
      <c r="T7" s="9"/>
      <c r="U7" s="9"/>
      <c r="V7" s="9"/>
      <c r="W7" s="9"/>
      <c r="X7" s="9"/>
      <c r="Y7" s="9"/>
      <c r="Z7" s="9"/>
      <c r="AA7" s="9"/>
      <c r="AB7" s="9"/>
      <c r="AC7" s="9"/>
      <c r="AD7" s="9"/>
      <c r="AE7" s="9"/>
    </row>
    <row r="8" spans="1:31" ht="30" x14ac:dyDescent="0.25">
      <c r="A8" s="8" t="s">
        <v>52</v>
      </c>
      <c r="B8" s="9" t="s">
        <v>856</v>
      </c>
      <c r="C8" s="9"/>
      <c r="D8" s="9"/>
      <c r="E8" s="9"/>
      <c r="F8" s="9"/>
      <c r="G8" s="9"/>
      <c r="H8" s="9"/>
      <c r="I8" s="9"/>
      <c r="J8" s="9"/>
      <c r="K8" s="9"/>
      <c r="L8" s="9"/>
      <c r="M8" s="9"/>
      <c r="N8" s="9"/>
      <c r="O8" s="9"/>
      <c r="P8" s="9"/>
      <c r="Q8" s="9"/>
      <c r="R8" s="9"/>
      <c r="S8" s="9"/>
      <c r="T8" s="9"/>
      <c r="U8" s="9"/>
      <c r="V8" s="9"/>
      <c r="W8" s="9"/>
      <c r="X8" s="9"/>
      <c r="Y8" s="9"/>
      <c r="Z8" s="9"/>
      <c r="AA8" s="9"/>
      <c r="AB8" s="9"/>
      <c r="AC8" s="9"/>
      <c r="AD8" s="9"/>
      <c r="AE8" s="9"/>
    </row>
    <row r="9" spans="1:31" x14ac:dyDescent="0.25">
      <c r="A9" s="8" t="s">
        <v>54</v>
      </c>
      <c r="B9" s="9" t="s">
        <v>857</v>
      </c>
      <c r="C9" s="9"/>
      <c r="D9" s="9"/>
      <c r="E9" s="9"/>
      <c r="F9" s="9"/>
      <c r="G9" s="9"/>
      <c r="H9" s="9"/>
      <c r="I9" s="9"/>
      <c r="J9" s="9"/>
      <c r="K9" s="9"/>
      <c r="L9" s="9"/>
      <c r="M9" s="9"/>
      <c r="N9" s="9"/>
      <c r="O9" s="9"/>
      <c r="P9" s="9"/>
      <c r="Q9" s="9"/>
      <c r="R9" s="9"/>
      <c r="S9" s="9"/>
      <c r="T9" s="9"/>
      <c r="U9" s="9"/>
      <c r="V9" s="9"/>
      <c r="W9" s="9"/>
      <c r="X9" s="9"/>
      <c r="Y9" s="9"/>
      <c r="Z9" s="9"/>
      <c r="AA9" s="9"/>
      <c r="AB9" s="9"/>
      <c r="AC9" s="9"/>
      <c r="AD9" s="9"/>
      <c r="AE9" s="9"/>
    </row>
    <row r="10" spans="1:31" x14ac:dyDescent="0.25">
      <c r="A10" s="23" t="s">
        <v>56</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row>
    <row r="11" spans="1:31" s="10" customFormat="1" ht="45" x14ac:dyDescent="0.25">
      <c r="A11" s="2" t="s">
        <v>57</v>
      </c>
      <c r="B11" s="2" t="s">
        <v>58</v>
      </c>
      <c r="C11" s="2" t="s">
        <v>59</v>
      </c>
      <c r="D11" s="2" t="s">
        <v>60</v>
      </c>
      <c r="E11" s="2" t="s">
        <v>61</v>
      </c>
      <c r="F11" s="2" t="s">
        <v>62</v>
      </c>
      <c r="G11" s="2" t="s">
        <v>63</v>
      </c>
      <c r="H11" s="2" t="s">
        <v>64</v>
      </c>
      <c r="I11" s="2" t="s">
        <v>65</v>
      </c>
      <c r="J11" s="2" t="s">
        <v>66</v>
      </c>
      <c r="K11" s="2" t="s">
        <v>67</v>
      </c>
      <c r="L11" s="2" t="s">
        <v>68</v>
      </c>
      <c r="M11" s="2" t="s">
        <v>69</v>
      </c>
      <c r="N11" s="2" t="s">
        <v>70</v>
      </c>
      <c r="O11" s="2" t="s">
        <v>71</v>
      </c>
      <c r="P11" s="2" t="s">
        <v>72</v>
      </c>
      <c r="Q11" s="2" t="s">
        <v>73</v>
      </c>
      <c r="R11" s="2" t="s">
        <v>74</v>
      </c>
      <c r="S11" s="2" t="s">
        <v>75</v>
      </c>
      <c r="T11" s="2" t="s">
        <v>76</v>
      </c>
      <c r="U11" s="2" t="s">
        <v>77</v>
      </c>
      <c r="V11" s="2" t="s">
        <v>78</v>
      </c>
      <c r="W11" s="2" t="s">
        <v>79</v>
      </c>
      <c r="X11" s="2" t="s">
        <v>80</v>
      </c>
      <c r="Y11" s="2" t="s">
        <v>81</v>
      </c>
      <c r="Z11" s="2" t="s">
        <v>82</v>
      </c>
      <c r="AA11" s="2" t="s">
        <v>83</v>
      </c>
      <c r="AB11" s="2" t="s">
        <v>84</v>
      </c>
      <c r="AC11" s="2" t="s">
        <v>85</v>
      </c>
      <c r="AD11" s="2" t="s">
        <v>86</v>
      </c>
      <c r="AE11" s="2" t="s">
        <v>87</v>
      </c>
    </row>
    <row r="12" spans="1:31" s="1" customFormat="1" ht="90" x14ac:dyDescent="0.25">
      <c r="A12" s="1">
        <v>1</v>
      </c>
      <c r="B12" s="27" t="s">
        <v>843</v>
      </c>
      <c r="O12" s="28" t="s">
        <v>104</v>
      </c>
      <c r="P12" s="1" t="s">
        <v>88</v>
      </c>
      <c r="Q12" s="28" t="s">
        <v>93</v>
      </c>
      <c r="R12" s="28" t="s">
        <v>47</v>
      </c>
      <c r="S12" s="10" t="s">
        <v>851</v>
      </c>
      <c r="T12" s="10" t="s">
        <v>851</v>
      </c>
    </row>
    <row r="13" spans="1:31" s="1" customFormat="1" x14ac:dyDescent="0.25">
      <c r="A13" s="1">
        <f t="array" aca="1" ref="A13" ca="1">INDIRECT(ADDRESS(ROW()-1,COLUMN()))+1</f>
        <v>2</v>
      </c>
      <c r="B13" s="27" t="s">
        <v>843</v>
      </c>
      <c r="O13" s="28" t="s">
        <v>94</v>
      </c>
      <c r="P13" s="1" t="s">
        <v>92</v>
      </c>
      <c r="Q13" s="28" t="s">
        <v>91</v>
      </c>
      <c r="R13" s="28" t="s">
        <v>47</v>
      </c>
      <c r="S13" s="10" t="s">
        <v>95</v>
      </c>
      <c r="T13" s="10" t="s">
        <v>95</v>
      </c>
    </row>
    <row r="14" spans="1:31" s="1" customFormat="1" x14ac:dyDescent="0.25">
      <c r="A14" s="1">
        <f t="array" aca="1" ref="A14" ca="1">INDIRECT(ADDRESS(ROW()-1,COLUMN()))+1</f>
        <v>3</v>
      </c>
      <c r="B14" s="27" t="s">
        <v>843</v>
      </c>
      <c r="O14" s="28" t="s">
        <v>96</v>
      </c>
      <c r="P14" s="1" t="s">
        <v>94</v>
      </c>
      <c r="Q14" s="28" t="s">
        <v>97</v>
      </c>
      <c r="R14" s="28" t="s">
        <v>47</v>
      </c>
      <c r="S14" s="10" t="s">
        <v>98</v>
      </c>
      <c r="T14" s="10" t="s">
        <v>98</v>
      </c>
    </row>
    <row r="15" spans="1:31" s="1" customFormat="1" x14ac:dyDescent="0.25">
      <c r="A15" s="1">
        <f t="array" aca="1" ref="A15" ca="1">INDIRECT(ADDRESS(ROW()-1,COLUMN()))+1</f>
        <v>4</v>
      </c>
      <c r="B15" s="27" t="s">
        <v>843</v>
      </c>
      <c r="O15" s="28" t="s">
        <v>99</v>
      </c>
      <c r="P15" s="1" t="s">
        <v>96</v>
      </c>
      <c r="Q15" s="28" t="s">
        <v>91</v>
      </c>
      <c r="R15" s="28" t="s">
        <v>47</v>
      </c>
      <c r="S15" s="10" t="s">
        <v>100</v>
      </c>
      <c r="T15" s="10" t="s">
        <v>100</v>
      </c>
    </row>
    <row r="16" spans="1:31" s="1" customFormat="1" ht="225" x14ac:dyDescent="0.25">
      <c r="A16" s="1">
        <f t="array" aca="1" ref="A16" ca="1">INDIRECT(ADDRESS(ROW()-1,COLUMN()))+1</f>
        <v>5</v>
      </c>
      <c r="B16" s="27" t="s">
        <v>843</v>
      </c>
      <c r="O16" t="s">
        <v>844</v>
      </c>
      <c r="P16" s="1" t="s">
        <v>99</v>
      </c>
      <c r="Q16" s="28" t="s">
        <v>91</v>
      </c>
      <c r="R16" s="28" t="s">
        <v>47</v>
      </c>
      <c r="S16" s="5" t="s">
        <v>852</v>
      </c>
      <c r="T16" s="5" t="s">
        <v>852</v>
      </c>
    </row>
    <row r="17" spans="1:31" s="1" customFormat="1" x14ac:dyDescent="0.25">
      <c r="A17" s="1">
        <f t="array" aca="1" ref="A17" ca="1">INDIRECT(ADDRESS(ROW()-1,COLUMN()))+1</f>
        <v>6</v>
      </c>
      <c r="B17" s="27" t="s">
        <v>843</v>
      </c>
      <c r="H17" s="25"/>
      <c r="O17" s="28" t="s">
        <v>845</v>
      </c>
      <c r="P17" s="1" t="s">
        <v>101</v>
      </c>
      <c r="Q17" s="28" t="s">
        <v>91</v>
      </c>
      <c r="R17" s="28" t="s">
        <v>47</v>
      </c>
      <c r="S17" s="10" t="s">
        <v>853</v>
      </c>
      <c r="T17" s="10" t="s">
        <v>853</v>
      </c>
    </row>
    <row r="18" spans="1:31" s="1" customFormat="1" ht="30" x14ac:dyDescent="0.25">
      <c r="A18" s="1">
        <f t="array" aca="1" ref="A18" ca="1">INDIRECT(ADDRESS(ROW()-1,COLUMN()))+1</f>
        <v>7</v>
      </c>
      <c r="B18" s="27" t="s">
        <v>843</v>
      </c>
      <c r="H18" s="25"/>
      <c r="O18" s="28" t="s">
        <v>846</v>
      </c>
      <c r="P18" s="1" t="s">
        <v>102</v>
      </c>
      <c r="Q18" s="28" t="s">
        <v>97</v>
      </c>
      <c r="R18" s="28" t="s">
        <v>47</v>
      </c>
      <c r="S18" s="10" t="s">
        <v>854</v>
      </c>
      <c r="T18" s="10" t="s">
        <v>854</v>
      </c>
    </row>
    <row r="19" spans="1:31" s="1" customFormat="1" ht="45" x14ac:dyDescent="0.25">
      <c r="A19" s="1">
        <f t="array" aca="1" ref="A19" ca="1">INDIRECT(ADDRESS(ROW()-1,COLUMN()))+1</f>
        <v>8</v>
      </c>
      <c r="B19" s="27" t="s">
        <v>843</v>
      </c>
      <c r="O19" s="28" t="s">
        <v>847</v>
      </c>
      <c r="P19" s="1" t="s">
        <v>103</v>
      </c>
      <c r="Q19" s="28" t="s">
        <v>91</v>
      </c>
      <c r="R19" s="28" t="s">
        <v>47</v>
      </c>
      <c r="S19" s="10" t="s">
        <v>106</v>
      </c>
      <c r="T19" s="10" t="s">
        <v>106</v>
      </c>
    </row>
    <row r="20" spans="1:31" s="1" customFormat="1" ht="45" x14ac:dyDescent="0.25">
      <c r="A20" s="1">
        <f t="array" aca="1" ref="A20" ca="1">INDIRECT(ADDRESS(ROW()-1,COLUMN()))+1</f>
        <v>9</v>
      </c>
      <c r="B20" s="27" t="s">
        <v>843</v>
      </c>
      <c r="O20" s="28" t="s">
        <v>109</v>
      </c>
      <c r="P20" s="1" t="s">
        <v>104</v>
      </c>
      <c r="Q20" s="28" t="s">
        <v>91</v>
      </c>
      <c r="R20" s="28" t="s">
        <v>47</v>
      </c>
      <c r="S20" s="10" t="s">
        <v>110</v>
      </c>
      <c r="T20" s="10" t="s">
        <v>110</v>
      </c>
    </row>
    <row r="21" spans="1:31" s="1" customFormat="1" ht="285" x14ac:dyDescent="0.25">
      <c r="A21" s="1">
        <f t="array" aca="1" ref="A21" ca="1">INDIRECT(ADDRESS(ROW()-1,COLUMN()))+1</f>
        <v>10</v>
      </c>
      <c r="B21" s="27" t="s">
        <v>843</v>
      </c>
      <c r="N21" s="1" t="s">
        <v>108</v>
      </c>
      <c r="O21" s="10" t="s">
        <v>848</v>
      </c>
      <c r="P21" s="1" t="s">
        <v>105</v>
      </c>
      <c r="Q21" s="10" t="s">
        <v>849</v>
      </c>
      <c r="R21" s="10" t="s">
        <v>850</v>
      </c>
      <c r="S21" s="10" t="s">
        <v>855</v>
      </c>
      <c r="T21" s="10" t="s">
        <v>855</v>
      </c>
    </row>
    <row r="22" spans="1:31" s="1" customFormat="1" x14ac:dyDescent="0.25">
      <c r="A22" s="18" t="s">
        <v>111</v>
      </c>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row>
    <row r="23" spans="1:31" s="11" customFormat="1" ht="45" x14ac:dyDescent="0.25">
      <c r="A23" s="2" t="s">
        <v>57</v>
      </c>
      <c r="B23" s="2" t="s">
        <v>58</v>
      </c>
      <c r="C23" s="2" t="s">
        <v>59</v>
      </c>
      <c r="D23" s="2" t="s">
        <v>60</v>
      </c>
      <c r="E23" s="2" t="s">
        <v>61</v>
      </c>
      <c r="F23" s="2" t="s">
        <v>62</v>
      </c>
      <c r="G23" s="2" t="s">
        <v>63</v>
      </c>
      <c r="H23" s="2" t="s">
        <v>64</v>
      </c>
      <c r="I23" s="2" t="s">
        <v>65</v>
      </c>
      <c r="J23" s="2" t="s">
        <v>66</v>
      </c>
      <c r="K23" s="2" t="s">
        <v>67</v>
      </c>
      <c r="L23" s="2" t="s">
        <v>68</v>
      </c>
      <c r="M23" s="2" t="s">
        <v>69</v>
      </c>
      <c r="N23" s="2" t="s">
        <v>70</v>
      </c>
      <c r="O23" s="2" t="s">
        <v>71</v>
      </c>
      <c r="P23" s="2" t="s">
        <v>72</v>
      </c>
      <c r="Q23" s="2" t="s">
        <v>73</v>
      </c>
      <c r="R23" s="2" t="s">
        <v>74</v>
      </c>
      <c r="S23" s="2" t="s">
        <v>75</v>
      </c>
      <c r="T23" s="2" t="s">
        <v>76</v>
      </c>
      <c r="U23" s="2" t="s">
        <v>77</v>
      </c>
      <c r="V23" s="2" t="s">
        <v>78</v>
      </c>
      <c r="W23" s="2" t="s">
        <v>79</v>
      </c>
      <c r="X23" s="2" t="s">
        <v>80</v>
      </c>
      <c r="Y23" s="2" t="s">
        <v>81</v>
      </c>
      <c r="Z23" s="2" t="s">
        <v>82</v>
      </c>
      <c r="AA23" s="2" t="s">
        <v>83</v>
      </c>
      <c r="AB23" s="2" t="s">
        <v>84</v>
      </c>
      <c r="AC23" s="2" t="s">
        <v>85</v>
      </c>
      <c r="AD23" s="2" t="s">
        <v>86</v>
      </c>
      <c r="AE23" s="2" t="s">
        <v>87</v>
      </c>
    </row>
    <row r="24" spans="1:31" s="11" customFormat="1" ht="30" x14ac:dyDescent="0.25">
      <c r="A24" s="11">
        <v>1</v>
      </c>
      <c r="B24" s="11" t="s">
        <v>112</v>
      </c>
      <c r="O24" s="11" t="s">
        <v>113</v>
      </c>
      <c r="P24" s="11" t="s">
        <v>113</v>
      </c>
      <c r="Q24" s="11" t="s">
        <v>97</v>
      </c>
      <c r="R24" s="11" t="s">
        <v>90</v>
      </c>
      <c r="S24" s="11" t="s">
        <v>822</v>
      </c>
      <c r="T24" s="11" t="s">
        <v>114</v>
      </c>
      <c r="U24" s="11" t="s">
        <v>47</v>
      </c>
      <c r="V24" s="11" t="s">
        <v>47</v>
      </c>
      <c r="W24" s="11">
        <v>-1</v>
      </c>
      <c r="X24" s="11">
        <v>-1</v>
      </c>
      <c r="AE24" s="11" t="s">
        <v>90</v>
      </c>
    </row>
    <row r="25" spans="1:31" s="11" customFormat="1" ht="30" x14ac:dyDescent="0.25">
      <c r="A25" s="11">
        <v>2</v>
      </c>
      <c r="B25" s="11" t="s">
        <v>112</v>
      </c>
      <c r="O25" s="11" t="s">
        <v>115</v>
      </c>
      <c r="P25" s="11" t="s">
        <v>115</v>
      </c>
      <c r="Q25" s="11" t="s">
        <v>91</v>
      </c>
      <c r="R25" s="11" t="s">
        <v>90</v>
      </c>
      <c r="S25" s="11" t="s">
        <v>823</v>
      </c>
      <c r="T25" s="11" t="s">
        <v>116</v>
      </c>
      <c r="U25" s="11" t="s">
        <v>47</v>
      </c>
      <c r="V25" s="11" t="s">
        <v>47</v>
      </c>
      <c r="W25" s="11">
        <v>-1</v>
      </c>
      <c r="X25" s="11">
        <v>-1</v>
      </c>
      <c r="AE25" s="11" t="s">
        <v>90</v>
      </c>
    </row>
    <row r="26" spans="1:31" s="11" customFormat="1" ht="30" x14ac:dyDescent="0.25">
      <c r="A26" s="11">
        <v>3</v>
      </c>
      <c r="B26" s="11" t="s">
        <v>112</v>
      </c>
      <c r="O26" s="11" t="s">
        <v>117</v>
      </c>
      <c r="P26" s="11" t="s">
        <v>117</v>
      </c>
      <c r="Q26" s="11" t="s">
        <v>91</v>
      </c>
      <c r="R26" s="11" t="s">
        <v>90</v>
      </c>
      <c r="S26" s="11" t="s">
        <v>824</v>
      </c>
      <c r="T26" s="11" t="s">
        <v>118</v>
      </c>
      <c r="U26" s="11" t="s">
        <v>47</v>
      </c>
      <c r="V26" s="11" t="s">
        <v>47</v>
      </c>
      <c r="W26" s="11">
        <v>-1</v>
      </c>
      <c r="X26" s="11">
        <v>-1</v>
      </c>
      <c r="AE26" s="11" t="s">
        <v>90</v>
      </c>
    </row>
    <row r="27" spans="1:31" s="11" customFormat="1" ht="30" x14ac:dyDescent="0.25">
      <c r="A27" s="11">
        <v>4</v>
      </c>
      <c r="B27" s="11" t="s">
        <v>112</v>
      </c>
      <c r="O27" s="11" t="s">
        <v>119</v>
      </c>
      <c r="P27" s="11" t="s">
        <v>119</v>
      </c>
      <c r="Q27" s="11" t="s">
        <v>120</v>
      </c>
      <c r="R27" s="11" t="s">
        <v>90</v>
      </c>
      <c r="S27" s="11" t="s">
        <v>825</v>
      </c>
      <c r="T27" s="11" t="s">
        <v>121</v>
      </c>
      <c r="U27" s="11" t="s">
        <v>47</v>
      </c>
      <c r="V27" s="11" t="s">
        <v>47</v>
      </c>
      <c r="W27" s="11">
        <v>-1</v>
      </c>
      <c r="X27" s="11">
        <v>-1</v>
      </c>
      <c r="AE27" s="11" t="s">
        <v>90</v>
      </c>
    </row>
    <row r="28" spans="1:31" s="11" customFormat="1" x14ac:dyDescent="0.25"/>
    <row r="30" spans="1:31" s="1" customFormat="1" x14ac:dyDescent="0.25"/>
    <row r="31" spans="1:31" s="1" customFormat="1" x14ac:dyDescent="0.25"/>
  </sheetData>
  <autoFilter ref="A11:Q28" xr:uid="{00000000-0009-0000-0000-000002000000}"/>
  <mergeCells count="4">
    <mergeCell ref="A3:AE3"/>
    <mergeCell ref="A10:AE10"/>
    <mergeCell ref="H17:H18"/>
    <mergeCell ref="A22:AE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Q92"/>
  <sheetViews>
    <sheetView topLeftCell="A1048576" zoomScaleNormal="100" workbookViewId="0"/>
  </sheetViews>
  <sheetFormatPr defaultRowHeight="0" customHeight="1" zeroHeight="1" x14ac:dyDescent="0.25"/>
  <sheetData>
    <row r="2" spans="1:14" ht="15" x14ac:dyDescent="0.25">
      <c r="A2" t="e">
        <f>Create!#REF!+1</f>
        <v>#REF!</v>
      </c>
      <c r="B2" t="s">
        <v>123</v>
      </c>
      <c r="F2" t="s">
        <v>124</v>
      </c>
      <c r="G2" t="s">
        <v>125</v>
      </c>
      <c r="H2" t="s">
        <v>90</v>
      </c>
      <c r="I2" t="s">
        <v>126</v>
      </c>
    </row>
    <row r="3" spans="1:14" ht="15" x14ac:dyDescent="0.25">
      <c r="A3" t="e">
        <f t="shared" ref="A3:A34" si="0">A2+1</f>
        <v>#REF!</v>
      </c>
      <c r="B3" t="s">
        <v>123</v>
      </c>
      <c r="F3" t="s">
        <v>127</v>
      </c>
      <c r="G3" t="s">
        <v>89</v>
      </c>
      <c r="H3" t="s">
        <v>90</v>
      </c>
      <c r="I3" t="s">
        <v>128</v>
      </c>
    </row>
    <row r="4" spans="1:14" ht="15" x14ac:dyDescent="0.25">
      <c r="A4" t="e">
        <f t="shared" si="0"/>
        <v>#REF!</v>
      </c>
      <c r="B4" t="s">
        <v>123</v>
      </c>
      <c r="F4" t="s">
        <v>129</v>
      </c>
      <c r="G4" t="s">
        <v>89</v>
      </c>
      <c r="H4" t="s">
        <v>90</v>
      </c>
      <c r="I4" t="s">
        <v>130</v>
      </c>
    </row>
    <row r="5" spans="1:14" ht="15" x14ac:dyDescent="0.25">
      <c r="A5" t="e">
        <f t="shared" si="0"/>
        <v>#REF!</v>
      </c>
      <c r="B5" t="s">
        <v>131</v>
      </c>
      <c r="F5" t="s">
        <v>124</v>
      </c>
      <c r="G5" t="s">
        <v>125</v>
      </c>
      <c r="H5" t="s">
        <v>90</v>
      </c>
      <c r="I5" t="s">
        <v>132</v>
      </c>
    </row>
    <row r="6" spans="1:14" ht="15" x14ac:dyDescent="0.25">
      <c r="A6" t="e">
        <f t="shared" si="0"/>
        <v>#REF!</v>
      </c>
      <c r="B6" t="s">
        <v>131</v>
      </c>
      <c r="F6" t="s">
        <v>133</v>
      </c>
      <c r="G6" t="s">
        <v>125</v>
      </c>
      <c r="H6" t="s">
        <v>47</v>
      </c>
      <c r="I6" t="s">
        <v>134</v>
      </c>
    </row>
    <row r="7" spans="1:14" ht="15" x14ac:dyDescent="0.25">
      <c r="A7" t="e">
        <f t="shared" si="0"/>
        <v>#REF!</v>
      </c>
      <c r="B7" t="s">
        <v>135</v>
      </c>
      <c r="F7" t="s">
        <v>124</v>
      </c>
      <c r="G7" t="s">
        <v>125</v>
      </c>
      <c r="H7" t="s">
        <v>90</v>
      </c>
      <c r="I7" t="s">
        <v>136</v>
      </c>
    </row>
    <row r="8" spans="1:14" ht="15" x14ac:dyDescent="0.25">
      <c r="A8" t="e">
        <f t="shared" si="0"/>
        <v>#REF!</v>
      </c>
      <c r="B8" t="s">
        <v>135</v>
      </c>
      <c r="F8" t="s">
        <v>137</v>
      </c>
      <c r="G8" t="s">
        <v>89</v>
      </c>
      <c r="H8" t="s">
        <v>47</v>
      </c>
      <c r="I8" t="s">
        <v>138</v>
      </c>
    </row>
    <row r="9" spans="1:14" ht="15" x14ac:dyDescent="0.25">
      <c r="A9" t="e">
        <f t="shared" si="0"/>
        <v>#REF!</v>
      </c>
      <c r="B9" t="s">
        <v>139</v>
      </c>
      <c r="F9" t="s">
        <v>124</v>
      </c>
      <c r="G9" t="s">
        <v>125</v>
      </c>
      <c r="H9" t="s">
        <v>90</v>
      </c>
      <c r="I9" t="s">
        <v>140</v>
      </c>
    </row>
    <row r="10" spans="1:14" ht="15" x14ac:dyDescent="0.25">
      <c r="A10" t="e">
        <f t="shared" si="0"/>
        <v>#REF!</v>
      </c>
      <c r="B10" t="s">
        <v>139</v>
      </c>
      <c r="F10" t="s">
        <v>133</v>
      </c>
      <c r="G10" t="s">
        <v>125</v>
      </c>
      <c r="H10" t="s">
        <v>47</v>
      </c>
      <c r="I10" t="s">
        <v>141</v>
      </c>
    </row>
    <row r="11" spans="1:14" ht="15" x14ac:dyDescent="0.25">
      <c r="A11" t="e">
        <f t="shared" si="0"/>
        <v>#REF!</v>
      </c>
      <c r="B11" t="s">
        <v>142</v>
      </c>
      <c r="F11" t="s">
        <v>124</v>
      </c>
      <c r="G11" t="s">
        <v>125</v>
      </c>
      <c r="H11" t="s">
        <v>90</v>
      </c>
      <c r="I11" t="s">
        <v>143</v>
      </c>
    </row>
    <row r="12" spans="1:14" ht="15" x14ac:dyDescent="0.25">
      <c r="A12" t="e">
        <f t="shared" si="0"/>
        <v>#REF!</v>
      </c>
      <c r="B12" t="s">
        <v>142</v>
      </c>
      <c r="F12" t="s">
        <v>144</v>
      </c>
      <c r="G12" t="s">
        <v>89</v>
      </c>
      <c r="H12" t="s">
        <v>90</v>
      </c>
      <c r="I12" t="s">
        <v>145</v>
      </c>
      <c r="N12" t="s">
        <v>146</v>
      </c>
    </row>
    <row r="13" spans="1:14" ht="15" x14ac:dyDescent="0.25">
      <c r="A13" t="e">
        <f t="shared" si="0"/>
        <v>#REF!</v>
      </c>
      <c r="B13" t="s">
        <v>142</v>
      </c>
      <c r="F13" t="s">
        <v>147</v>
      </c>
      <c r="G13" t="s">
        <v>89</v>
      </c>
      <c r="H13" t="s">
        <v>90</v>
      </c>
      <c r="I13" t="s">
        <v>148</v>
      </c>
      <c r="N13" t="s">
        <v>149</v>
      </c>
    </row>
    <row r="14" spans="1:14" ht="15" x14ac:dyDescent="0.25">
      <c r="A14" t="e">
        <f t="shared" si="0"/>
        <v>#REF!</v>
      </c>
      <c r="B14" t="s">
        <v>142</v>
      </c>
      <c r="F14" t="s">
        <v>150</v>
      </c>
      <c r="G14" t="s">
        <v>89</v>
      </c>
      <c r="H14" t="s">
        <v>90</v>
      </c>
      <c r="I14" t="s">
        <v>151</v>
      </c>
      <c r="N14" t="s">
        <v>152</v>
      </c>
    </row>
    <row r="15" spans="1:14" ht="15" x14ac:dyDescent="0.25">
      <c r="A15" t="e">
        <f t="shared" si="0"/>
        <v>#REF!</v>
      </c>
      <c r="B15" t="s">
        <v>142</v>
      </c>
      <c r="F15" t="s">
        <v>153</v>
      </c>
      <c r="G15" t="s">
        <v>125</v>
      </c>
      <c r="H15" t="s">
        <v>47</v>
      </c>
      <c r="I15" t="s">
        <v>154</v>
      </c>
    </row>
    <row r="16" spans="1:14" ht="15" x14ac:dyDescent="0.25">
      <c r="A16" t="e">
        <f t="shared" si="0"/>
        <v>#REF!</v>
      </c>
      <c r="B16" t="s">
        <v>155</v>
      </c>
      <c r="F16" t="s">
        <v>156</v>
      </c>
      <c r="G16" t="s">
        <v>89</v>
      </c>
      <c r="H16" t="s">
        <v>47</v>
      </c>
      <c r="I16" t="s">
        <v>157</v>
      </c>
    </row>
    <row r="17" spans="1:14" ht="15" x14ac:dyDescent="0.25">
      <c r="A17" t="e">
        <f t="shared" si="0"/>
        <v>#REF!</v>
      </c>
      <c r="B17" t="s">
        <v>155</v>
      </c>
      <c r="F17" t="s">
        <v>158</v>
      </c>
      <c r="G17" t="s">
        <v>89</v>
      </c>
      <c r="H17" t="s">
        <v>47</v>
      </c>
      <c r="I17" t="s">
        <v>159</v>
      </c>
      <c r="J17" t="s">
        <v>160</v>
      </c>
    </row>
    <row r="18" spans="1:14" ht="15" x14ac:dyDescent="0.25">
      <c r="A18" t="e">
        <f t="shared" si="0"/>
        <v>#REF!</v>
      </c>
      <c r="B18" t="s">
        <v>155</v>
      </c>
      <c r="F18" t="s">
        <v>161</v>
      </c>
      <c r="G18" t="s">
        <v>89</v>
      </c>
      <c r="H18" t="s">
        <v>47</v>
      </c>
      <c r="I18" t="s">
        <v>162</v>
      </c>
    </row>
    <row r="19" spans="1:14" ht="15" x14ac:dyDescent="0.25">
      <c r="A19" t="e">
        <f t="shared" si="0"/>
        <v>#REF!</v>
      </c>
      <c r="B19" t="s">
        <v>155</v>
      </c>
      <c r="F19" t="s">
        <v>163</v>
      </c>
      <c r="G19" t="s">
        <v>97</v>
      </c>
      <c r="H19" t="s">
        <v>47</v>
      </c>
      <c r="I19" t="s">
        <v>164</v>
      </c>
    </row>
    <row r="20" spans="1:14" ht="15" x14ac:dyDescent="0.25">
      <c r="A20" t="e">
        <f t="shared" si="0"/>
        <v>#REF!</v>
      </c>
      <c r="B20" t="s">
        <v>155</v>
      </c>
      <c r="F20" t="s">
        <v>165</v>
      </c>
      <c r="G20" t="s">
        <v>89</v>
      </c>
      <c r="H20" t="s">
        <v>47</v>
      </c>
      <c r="I20" t="s">
        <v>166</v>
      </c>
    </row>
    <row r="21" spans="1:14" ht="15" x14ac:dyDescent="0.25">
      <c r="A21" t="e">
        <f t="shared" si="0"/>
        <v>#REF!</v>
      </c>
      <c r="B21" t="s">
        <v>155</v>
      </c>
      <c r="E21" t="s">
        <v>167</v>
      </c>
      <c r="F21" t="s">
        <v>168</v>
      </c>
      <c r="G21" t="s">
        <v>89</v>
      </c>
      <c r="H21" t="s">
        <v>47</v>
      </c>
      <c r="I21" t="s">
        <v>169</v>
      </c>
    </row>
    <row r="22" spans="1:14" ht="15" x14ac:dyDescent="0.25">
      <c r="A22" t="e">
        <f t="shared" si="0"/>
        <v>#REF!</v>
      </c>
      <c r="B22" t="s">
        <v>155</v>
      </c>
      <c r="E22" t="s">
        <v>167</v>
      </c>
      <c r="F22" t="s">
        <v>170</v>
      </c>
      <c r="G22" t="s">
        <v>89</v>
      </c>
      <c r="H22" t="s">
        <v>47</v>
      </c>
      <c r="I22" t="s">
        <v>171</v>
      </c>
    </row>
    <row r="23" spans="1:14" ht="15" x14ac:dyDescent="0.25">
      <c r="A23" t="e">
        <f t="shared" si="0"/>
        <v>#REF!</v>
      </c>
      <c r="B23" t="s">
        <v>155</v>
      </c>
      <c r="E23" t="s">
        <v>167</v>
      </c>
      <c r="F23" t="s">
        <v>172</v>
      </c>
      <c r="G23" t="s">
        <v>89</v>
      </c>
      <c r="H23" t="s">
        <v>47</v>
      </c>
      <c r="I23" t="s">
        <v>173</v>
      </c>
      <c r="N23" t="s">
        <v>174</v>
      </c>
    </row>
    <row r="24" spans="1:14" ht="15" x14ac:dyDescent="0.25">
      <c r="A24" t="e">
        <f t="shared" si="0"/>
        <v>#REF!</v>
      </c>
      <c r="B24" t="s">
        <v>155</v>
      </c>
      <c r="E24" t="s">
        <v>175</v>
      </c>
      <c r="F24" t="s">
        <v>176</v>
      </c>
      <c r="G24" t="s">
        <v>89</v>
      </c>
      <c r="H24" t="s">
        <v>47</v>
      </c>
      <c r="I24" t="s">
        <v>177</v>
      </c>
    </row>
    <row r="25" spans="1:14" ht="15" x14ac:dyDescent="0.25">
      <c r="A25" t="e">
        <f t="shared" si="0"/>
        <v>#REF!</v>
      </c>
      <c r="B25" t="s">
        <v>155</v>
      </c>
      <c r="E25" t="s">
        <v>175</v>
      </c>
      <c r="F25" t="s">
        <v>178</v>
      </c>
      <c r="G25" t="s">
        <v>89</v>
      </c>
      <c r="H25" t="s">
        <v>47</v>
      </c>
    </row>
    <row r="26" spans="1:14" ht="15" x14ac:dyDescent="0.25">
      <c r="A26" t="e">
        <f t="shared" si="0"/>
        <v>#REF!</v>
      </c>
      <c r="B26" t="s">
        <v>155</v>
      </c>
      <c r="E26" t="s">
        <v>175</v>
      </c>
      <c r="F26" t="s">
        <v>179</v>
      </c>
      <c r="G26" t="s">
        <v>89</v>
      </c>
      <c r="H26" t="s">
        <v>47</v>
      </c>
      <c r="I26" t="s">
        <v>180</v>
      </c>
      <c r="N26" t="s">
        <v>181</v>
      </c>
    </row>
    <row r="27" spans="1:14" ht="15" x14ac:dyDescent="0.25">
      <c r="A27" t="e">
        <f t="shared" si="0"/>
        <v>#REF!</v>
      </c>
      <c r="B27" t="s">
        <v>155</v>
      </c>
      <c r="E27" t="s">
        <v>175</v>
      </c>
      <c r="F27" t="s">
        <v>182</v>
      </c>
      <c r="G27" t="s">
        <v>89</v>
      </c>
      <c r="H27" t="s">
        <v>47</v>
      </c>
      <c r="I27" t="s">
        <v>183</v>
      </c>
    </row>
    <row r="28" spans="1:14" ht="15" x14ac:dyDescent="0.25">
      <c r="A28" t="e">
        <f t="shared" si="0"/>
        <v>#REF!</v>
      </c>
      <c r="B28" t="s">
        <v>155</v>
      </c>
      <c r="E28" t="s">
        <v>184</v>
      </c>
      <c r="F28" t="s">
        <v>185</v>
      </c>
      <c r="G28" t="s">
        <v>89</v>
      </c>
      <c r="H28" t="s">
        <v>47</v>
      </c>
      <c r="I28" t="s">
        <v>186</v>
      </c>
    </row>
    <row r="29" spans="1:14" ht="15" x14ac:dyDescent="0.25">
      <c r="A29" t="e">
        <f t="shared" si="0"/>
        <v>#REF!</v>
      </c>
      <c r="B29" t="s">
        <v>155</v>
      </c>
      <c r="E29" t="s">
        <v>187</v>
      </c>
      <c r="F29" t="s">
        <v>188</v>
      </c>
      <c r="G29" t="s">
        <v>89</v>
      </c>
      <c r="H29" t="s">
        <v>47</v>
      </c>
      <c r="I29" t="s">
        <v>189</v>
      </c>
    </row>
    <row r="30" spans="1:14" ht="15" x14ac:dyDescent="0.25">
      <c r="A30" t="e">
        <f t="shared" si="0"/>
        <v>#REF!</v>
      </c>
      <c r="B30" t="s">
        <v>155</v>
      </c>
      <c r="E30" t="s">
        <v>187</v>
      </c>
      <c r="F30" t="s">
        <v>190</v>
      </c>
      <c r="G30" t="s">
        <v>125</v>
      </c>
      <c r="H30" t="s">
        <v>47</v>
      </c>
      <c r="I30" t="s">
        <v>191</v>
      </c>
    </row>
    <row r="31" spans="1:14" ht="15" x14ac:dyDescent="0.25">
      <c r="A31" t="e">
        <f t="shared" si="0"/>
        <v>#REF!</v>
      </c>
      <c r="B31" t="s">
        <v>155</v>
      </c>
      <c r="E31" t="s">
        <v>192</v>
      </c>
      <c r="F31" t="s">
        <v>193</v>
      </c>
      <c r="G31" t="s">
        <v>89</v>
      </c>
      <c r="H31" t="s">
        <v>47</v>
      </c>
      <c r="I31" t="s">
        <v>194</v>
      </c>
      <c r="N31" t="s">
        <v>195</v>
      </c>
    </row>
    <row r="32" spans="1:14" ht="15" x14ac:dyDescent="0.25">
      <c r="A32" t="e">
        <f t="shared" si="0"/>
        <v>#REF!</v>
      </c>
      <c r="B32" t="s">
        <v>155</v>
      </c>
      <c r="E32" t="s">
        <v>192</v>
      </c>
      <c r="F32" t="s">
        <v>178</v>
      </c>
      <c r="G32" t="s">
        <v>89</v>
      </c>
      <c r="H32" t="s">
        <v>47</v>
      </c>
      <c r="I32" t="s">
        <v>196</v>
      </c>
    </row>
    <row r="33" spans="1:14" ht="15" x14ac:dyDescent="0.25">
      <c r="A33" t="e">
        <f t="shared" si="0"/>
        <v>#REF!</v>
      </c>
      <c r="B33" t="s">
        <v>155</v>
      </c>
      <c r="E33" t="s">
        <v>192</v>
      </c>
      <c r="F33" t="s">
        <v>197</v>
      </c>
      <c r="G33" t="s">
        <v>89</v>
      </c>
      <c r="H33" t="s">
        <v>47</v>
      </c>
      <c r="I33" t="s">
        <v>198</v>
      </c>
    </row>
    <row r="34" spans="1:14" ht="15" x14ac:dyDescent="0.25">
      <c r="A34" t="e">
        <f t="shared" si="0"/>
        <v>#REF!</v>
      </c>
      <c r="B34" t="s">
        <v>155</v>
      </c>
      <c r="E34" t="s">
        <v>192</v>
      </c>
      <c r="F34" t="s">
        <v>179</v>
      </c>
      <c r="G34" t="s">
        <v>89</v>
      </c>
      <c r="H34" t="s">
        <v>47</v>
      </c>
      <c r="I34" t="s">
        <v>199</v>
      </c>
      <c r="N34" t="s">
        <v>181</v>
      </c>
    </row>
    <row r="35" spans="1:14" ht="15" x14ac:dyDescent="0.25">
      <c r="A35" t="e">
        <f t="shared" ref="A35:A66" si="1">A34+1</f>
        <v>#REF!</v>
      </c>
      <c r="B35" t="s">
        <v>155</v>
      </c>
      <c r="E35" t="s">
        <v>200</v>
      </c>
      <c r="H35" t="s">
        <v>47</v>
      </c>
      <c r="I35" t="s">
        <v>201</v>
      </c>
    </row>
    <row r="36" spans="1:14" ht="15" x14ac:dyDescent="0.25">
      <c r="A36" t="e">
        <f t="shared" si="1"/>
        <v>#REF!</v>
      </c>
      <c r="B36" t="s">
        <v>155</v>
      </c>
      <c r="E36" t="s">
        <v>200</v>
      </c>
      <c r="F36" t="s">
        <v>202</v>
      </c>
      <c r="G36" t="s">
        <v>125</v>
      </c>
      <c r="H36" t="s">
        <v>47</v>
      </c>
      <c r="I36" t="s">
        <v>203</v>
      </c>
      <c r="J36" t="s">
        <v>204</v>
      </c>
    </row>
    <row r="37" spans="1:14" ht="15" x14ac:dyDescent="0.25">
      <c r="A37" t="e">
        <f t="shared" si="1"/>
        <v>#REF!</v>
      </c>
      <c r="B37" t="s">
        <v>155</v>
      </c>
      <c r="E37" t="s">
        <v>200</v>
      </c>
      <c r="F37" t="s">
        <v>205</v>
      </c>
      <c r="G37" t="s">
        <v>97</v>
      </c>
      <c r="H37" t="s">
        <v>47</v>
      </c>
      <c r="I37" t="s">
        <v>206</v>
      </c>
    </row>
    <row r="38" spans="1:14" ht="15" x14ac:dyDescent="0.25">
      <c r="A38" t="e">
        <f t="shared" si="1"/>
        <v>#REF!</v>
      </c>
      <c r="B38" t="s">
        <v>155</v>
      </c>
      <c r="E38" t="s">
        <v>200</v>
      </c>
      <c r="F38" t="s">
        <v>207</v>
      </c>
      <c r="G38" t="s">
        <v>89</v>
      </c>
      <c r="H38" t="s">
        <v>47</v>
      </c>
      <c r="I38" t="s">
        <v>208</v>
      </c>
    </row>
    <row r="39" spans="1:14" ht="15" x14ac:dyDescent="0.25">
      <c r="A39" t="e">
        <f t="shared" si="1"/>
        <v>#REF!</v>
      </c>
      <c r="B39" t="s">
        <v>155</v>
      </c>
      <c r="E39" t="s">
        <v>209</v>
      </c>
      <c r="F39" t="s">
        <v>210</v>
      </c>
      <c r="G39" t="s">
        <v>89</v>
      </c>
      <c r="H39" t="s">
        <v>47</v>
      </c>
      <c r="I39" t="s">
        <v>211</v>
      </c>
      <c r="N39" t="s">
        <v>212</v>
      </c>
    </row>
    <row r="40" spans="1:14" ht="15" x14ac:dyDescent="0.25">
      <c r="A40" t="e">
        <f t="shared" si="1"/>
        <v>#REF!</v>
      </c>
      <c r="B40" t="s">
        <v>155</v>
      </c>
      <c r="E40" t="s">
        <v>209</v>
      </c>
      <c r="F40" t="s">
        <v>213</v>
      </c>
      <c r="G40" t="s">
        <v>89</v>
      </c>
      <c r="H40" t="s">
        <v>47</v>
      </c>
      <c r="I40" t="s">
        <v>214</v>
      </c>
    </row>
    <row r="41" spans="1:14" ht="15" x14ac:dyDescent="0.25">
      <c r="A41" t="e">
        <f t="shared" si="1"/>
        <v>#REF!</v>
      </c>
      <c r="B41" t="s">
        <v>155</v>
      </c>
      <c r="E41" t="s">
        <v>209</v>
      </c>
      <c r="F41" t="s">
        <v>178</v>
      </c>
      <c r="G41" t="s">
        <v>89</v>
      </c>
      <c r="H41" t="s">
        <v>47</v>
      </c>
    </row>
    <row r="42" spans="1:14" ht="15" x14ac:dyDescent="0.25">
      <c r="A42" t="e">
        <f t="shared" si="1"/>
        <v>#REF!</v>
      </c>
      <c r="B42" t="s">
        <v>155</v>
      </c>
      <c r="E42" t="s">
        <v>209</v>
      </c>
      <c r="F42" t="s">
        <v>197</v>
      </c>
      <c r="G42" t="s">
        <v>89</v>
      </c>
      <c r="H42" t="s">
        <v>47</v>
      </c>
      <c r="I42" t="s">
        <v>215</v>
      </c>
    </row>
    <row r="43" spans="1:14" ht="15" x14ac:dyDescent="0.25">
      <c r="A43" t="e">
        <f t="shared" si="1"/>
        <v>#REF!</v>
      </c>
      <c r="B43" t="s">
        <v>155</v>
      </c>
      <c r="E43" t="s">
        <v>209</v>
      </c>
      <c r="F43" t="s">
        <v>179</v>
      </c>
      <c r="G43" t="s">
        <v>89</v>
      </c>
      <c r="H43" t="s">
        <v>47</v>
      </c>
      <c r="I43" t="s">
        <v>216</v>
      </c>
      <c r="N43" t="s">
        <v>181</v>
      </c>
    </row>
    <row r="44" spans="1:14" ht="15" x14ac:dyDescent="0.25">
      <c r="A44" t="e">
        <f t="shared" si="1"/>
        <v>#REF!</v>
      </c>
      <c r="B44" t="s">
        <v>155</v>
      </c>
      <c r="E44" t="s">
        <v>217</v>
      </c>
      <c r="F44" t="s">
        <v>218</v>
      </c>
      <c r="G44" t="s">
        <v>89</v>
      </c>
      <c r="H44" t="s">
        <v>47</v>
      </c>
      <c r="I44" t="s">
        <v>219</v>
      </c>
    </row>
    <row r="45" spans="1:14" ht="15" x14ac:dyDescent="0.25">
      <c r="A45" t="e">
        <f t="shared" si="1"/>
        <v>#REF!</v>
      </c>
      <c r="B45" t="s">
        <v>155</v>
      </c>
      <c r="E45" t="s">
        <v>217</v>
      </c>
      <c r="F45" t="s">
        <v>178</v>
      </c>
      <c r="G45" t="s">
        <v>89</v>
      </c>
      <c r="H45" t="s">
        <v>47</v>
      </c>
      <c r="I45" t="s">
        <v>196</v>
      </c>
    </row>
    <row r="46" spans="1:14" ht="15" x14ac:dyDescent="0.25">
      <c r="A46" t="e">
        <f t="shared" si="1"/>
        <v>#REF!</v>
      </c>
      <c r="B46" t="s">
        <v>155</v>
      </c>
      <c r="E46" t="s">
        <v>217</v>
      </c>
      <c r="F46" t="s">
        <v>179</v>
      </c>
      <c r="G46" t="s">
        <v>89</v>
      </c>
      <c r="H46" t="s">
        <v>47</v>
      </c>
      <c r="I46" t="s">
        <v>216</v>
      </c>
      <c r="N46" t="s">
        <v>181</v>
      </c>
    </row>
    <row r="47" spans="1:14" ht="15" x14ac:dyDescent="0.25">
      <c r="A47" t="e">
        <f t="shared" si="1"/>
        <v>#REF!</v>
      </c>
      <c r="B47" t="s">
        <v>155</v>
      </c>
      <c r="E47" t="s">
        <v>217</v>
      </c>
      <c r="F47" t="s">
        <v>182</v>
      </c>
      <c r="G47" t="s">
        <v>89</v>
      </c>
      <c r="H47" t="s">
        <v>47</v>
      </c>
      <c r="I47" t="s">
        <v>220</v>
      </c>
    </row>
    <row r="48" spans="1:14" ht="15" x14ac:dyDescent="0.25">
      <c r="A48" t="e">
        <f t="shared" si="1"/>
        <v>#REF!</v>
      </c>
      <c r="B48" t="s">
        <v>155</v>
      </c>
      <c r="E48" t="s">
        <v>217</v>
      </c>
      <c r="F48" t="s">
        <v>221</v>
      </c>
      <c r="G48" t="s">
        <v>89</v>
      </c>
      <c r="H48" t="s">
        <v>47</v>
      </c>
      <c r="I48" t="s">
        <v>222</v>
      </c>
    </row>
    <row r="49" spans="1:14" ht="15" x14ac:dyDescent="0.25">
      <c r="A49" t="e">
        <f t="shared" si="1"/>
        <v>#REF!</v>
      </c>
      <c r="B49" t="s">
        <v>155</v>
      </c>
      <c r="E49" t="s">
        <v>217</v>
      </c>
      <c r="F49" t="s">
        <v>223</v>
      </c>
      <c r="G49" t="s">
        <v>89</v>
      </c>
      <c r="H49" t="s">
        <v>47</v>
      </c>
      <c r="I49" t="s">
        <v>224</v>
      </c>
      <c r="N49" t="s">
        <v>225</v>
      </c>
    </row>
    <row r="50" spans="1:14" ht="15" x14ac:dyDescent="0.25">
      <c r="A50" t="e">
        <f t="shared" si="1"/>
        <v>#REF!</v>
      </c>
      <c r="B50" t="s">
        <v>155</v>
      </c>
      <c r="E50" t="s">
        <v>217</v>
      </c>
      <c r="F50" t="s">
        <v>226</v>
      </c>
      <c r="G50" t="s">
        <v>89</v>
      </c>
      <c r="H50" t="s">
        <v>47</v>
      </c>
      <c r="I50" t="s">
        <v>227</v>
      </c>
    </row>
    <row r="51" spans="1:14" ht="15" x14ac:dyDescent="0.25">
      <c r="A51" t="e">
        <f t="shared" si="1"/>
        <v>#REF!</v>
      </c>
      <c r="B51" t="s">
        <v>155</v>
      </c>
      <c r="E51" t="s">
        <v>217</v>
      </c>
      <c r="F51" t="s">
        <v>228</v>
      </c>
      <c r="G51" t="s">
        <v>89</v>
      </c>
      <c r="H51" t="s">
        <v>47</v>
      </c>
      <c r="I51" t="s">
        <v>229</v>
      </c>
    </row>
    <row r="52" spans="1:14" ht="15" x14ac:dyDescent="0.25">
      <c r="A52" t="e">
        <f t="shared" si="1"/>
        <v>#REF!</v>
      </c>
      <c r="B52" t="s">
        <v>155</v>
      </c>
      <c r="E52" t="s">
        <v>230</v>
      </c>
      <c r="F52" t="s">
        <v>205</v>
      </c>
      <c r="G52" t="s">
        <v>97</v>
      </c>
      <c r="H52" t="s">
        <v>47</v>
      </c>
      <c r="I52" t="s">
        <v>231</v>
      </c>
    </row>
    <row r="53" spans="1:14" ht="15" x14ac:dyDescent="0.25">
      <c r="A53" t="e">
        <f t="shared" si="1"/>
        <v>#REF!</v>
      </c>
      <c r="B53" t="s">
        <v>155</v>
      </c>
      <c r="E53" t="s">
        <v>230</v>
      </c>
      <c r="F53" t="s">
        <v>232</v>
      </c>
      <c r="G53" t="s">
        <v>89</v>
      </c>
      <c r="H53" t="s">
        <v>47</v>
      </c>
      <c r="I53" t="s">
        <v>233</v>
      </c>
      <c r="N53" t="s">
        <v>234</v>
      </c>
    </row>
    <row r="54" spans="1:14" ht="15" x14ac:dyDescent="0.25">
      <c r="A54" t="e">
        <f t="shared" si="1"/>
        <v>#REF!</v>
      </c>
      <c r="B54" t="s">
        <v>155</v>
      </c>
      <c r="E54" t="s">
        <v>230</v>
      </c>
      <c r="F54" t="s">
        <v>235</v>
      </c>
      <c r="G54" t="s">
        <v>89</v>
      </c>
      <c r="H54" t="s">
        <v>47</v>
      </c>
      <c r="I54" t="s">
        <v>236</v>
      </c>
    </row>
    <row r="55" spans="1:14" ht="15" x14ac:dyDescent="0.25">
      <c r="A55" t="e">
        <f t="shared" si="1"/>
        <v>#REF!</v>
      </c>
      <c r="B55" t="s">
        <v>155</v>
      </c>
      <c r="E55" t="s">
        <v>230</v>
      </c>
      <c r="F55" t="s">
        <v>237</v>
      </c>
      <c r="G55" t="s">
        <v>89</v>
      </c>
      <c r="H55" t="s">
        <v>47</v>
      </c>
      <c r="I55" t="s">
        <v>238</v>
      </c>
    </row>
    <row r="56" spans="1:14" ht="15" x14ac:dyDescent="0.25">
      <c r="A56" t="e">
        <f t="shared" si="1"/>
        <v>#REF!</v>
      </c>
      <c r="B56" t="s">
        <v>155</v>
      </c>
      <c r="E56" t="s">
        <v>230</v>
      </c>
      <c r="F56" t="s">
        <v>239</v>
      </c>
      <c r="G56" t="s">
        <v>89</v>
      </c>
      <c r="H56" t="s">
        <v>47</v>
      </c>
      <c r="I56" t="s">
        <v>240</v>
      </c>
      <c r="N56" t="s">
        <v>241</v>
      </c>
    </row>
    <row r="57" spans="1:14" ht="15" x14ac:dyDescent="0.25">
      <c r="A57" t="e">
        <f t="shared" si="1"/>
        <v>#REF!</v>
      </c>
      <c r="B57" t="s">
        <v>155</v>
      </c>
      <c r="E57" t="s">
        <v>230</v>
      </c>
      <c r="F57" t="s">
        <v>242</v>
      </c>
      <c r="G57" t="s">
        <v>89</v>
      </c>
      <c r="H57" t="s">
        <v>47</v>
      </c>
      <c r="I57" t="s">
        <v>243</v>
      </c>
    </row>
    <row r="58" spans="1:14" ht="15" x14ac:dyDescent="0.25">
      <c r="A58" t="e">
        <f t="shared" si="1"/>
        <v>#REF!</v>
      </c>
      <c r="B58" t="s">
        <v>155</v>
      </c>
      <c r="E58" t="s">
        <v>230</v>
      </c>
      <c r="F58" t="s">
        <v>244</v>
      </c>
      <c r="G58" t="s">
        <v>89</v>
      </c>
      <c r="H58" t="s">
        <v>47</v>
      </c>
      <c r="I58" t="s">
        <v>245</v>
      </c>
    </row>
    <row r="59" spans="1:14" ht="15" x14ac:dyDescent="0.25">
      <c r="A59" t="e">
        <f t="shared" si="1"/>
        <v>#REF!</v>
      </c>
      <c r="B59" t="s">
        <v>155</v>
      </c>
      <c r="E59" t="s">
        <v>230</v>
      </c>
      <c r="F59" t="s">
        <v>246</v>
      </c>
      <c r="G59" t="s">
        <v>89</v>
      </c>
      <c r="H59" t="s">
        <v>47</v>
      </c>
      <c r="I59" t="s">
        <v>247</v>
      </c>
    </row>
    <row r="60" spans="1:14" ht="15" x14ac:dyDescent="0.25">
      <c r="A60" t="e">
        <f t="shared" si="1"/>
        <v>#REF!</v>
      </c>
      <c r="B60" t="s">
        <v>155</v>
      </c>
      <c r="E60" t="s">
        <v>248</v>
      </c>
      <c r="F60" t="s">
        <v>158</v>
      </c>
      <c r="G60" t="s">
        <v>89</v>
      </c>
      <c r="H60" t="s">
        <v>47</v>
      </c>
      <c r="I60" t="s">
        <v>249</v>
      </c>
    </row>
    <row r="61" spans="1:14" ht="15" x14ac:dyDescent="0.25">
      <c r="A61" t="e">
        <f t="shared" si="1"/>
        <v>#REF!</v>
      </c>
      <c r="B61" t="s">
        <v>155</v>
      </c>
      <c r="E61" t="s">
        <v>248</v>
      </c>
      <c r="F61" t="s">
        <v>250</v>
      </c>
      <c r="G61" t="s">
        <v>89</v>
      </c>
      <c r="H61" t="s">
        <v>47</v>
      </c>
      <c r="I61" t="s">
        <v>251</v>
      </c>
    </row>
    <row r="62" spans="1:14" ht="15" x14ac:dyDescent="0.25">
      <c r="A62" t="e">
        <f t="shared" si="1"/>
        <v>#REF!</v>
      </c>
      <c r="B62" t="s">
        <v>155</v>
      </c>
      <c r="E62" t="s">
        <v>248</v>
      </c>
      <c r="F62" t="s">
        <v>252</v>
      </c>
      <c r="G62" t="s">
        <v>89</v>
      </c>
      <c r="I62" t="s">
        <v>253</v>
      </c>
    </row>
    <row r="63" spans="1:14" ht="15" x14ac:dyDescent="0.25">
      <c r="A63" t="e">
        <f t="shared" si="1"/>
        <v>#REF!</v>
      </c>
      <c r="B63" t="s">
        <v>155</v>
      </c>
      <c r="E63" t="s">
        <v>248</v>
      </c>
      <c r="F63" t="s">
        <v>254</v>
      </c>
      <c r="G63" t="s">
        <v>89</v>
      </c>
      <c r="H63" t="s">
        <v>47</v>
      </c>
      <c r="I63" t="s">
        <v>245</v>
      </c>
    </row>
    <row r="64" spans="1:14" ht="15" x14ac:dyDescent="0.25">
      <c r="A64" t="e">
        <f t="shared" si="1"/>
        <v>#REF!</v>
      </c>
      <c r="B64" t="s">
        <v>255</v>
      </c>
      <c r="F64" t="s">
        <v>156</v>
      </c>
      <c r="G64" t="s">
        <v>89</v>
      </c>
      <c r="H64" t="s">
        <v>47</v>
      </c>
      <c r="I64" t="s">
        <v>157</v>
      </c>
    </row>
    <row r="65" spans="1:14" ht="15" x14ac:dyDescent="0.25">
      <c r="A65" t="e">
        <f t="shared" si="1"/>
        <v>#REF!</v>
      </c>
      <c r="B65" t="s">
        <v>255</v>
      </c>
      <c r="F65" t="s">
        <v>252</v>
      </c>
      <c r="G65" t="s">
        <v>89</v>
      </c>
      <c r="H65" t="s">
        <v>47</v>
      </c>
      <c r="I65" t="s">
        <v>256</v>
      </c>
    </row>
    <row r="66" spans="1:14" ht="15" x14ac:dyDescent="0.25">
      <c r="A66" t="e">
        <f t="shared" si="1"/>
        <v>#REF!</v>
      </c>
      <c r="B66" t="s">
        <v>255</v>
      </c>
      <c r="F66" t="s">
        <v>257</v>
      </c>
      <c r="G66" t="s">
        <v>89</v>
      </c>
      <c r="H66" t="s">
        <v>47</v>
      </c>
      <c r="I66" t="s">
        <v>258</v>
      </c>
      <c r="N66" t="s">
        <v>259</v>
      </c>
    </row>
    <row r="67" spans="1:14" ht="15" x14ac:dyDescent="0.25">
      <c r="A67" t="e">
        <f t="shared" ref="A67:A92" si="2">A66+1</f>
        <v>#REF!</v>
      </c>
      <c r="B67" t="s">
        <v>255</v>
      </c>
      <c r="F67" t="s">
        <v>158</v>
      </c>
      <c r="G67" t="s">
        <v>89</v>
      </c>
      <c r="H67" t="s">
        <v>47</v>
      </c>
      <c r="I67" t="s">
        <v>260</v>
      </c>
    </row>
    <row r="68" spans="1:14" ht="15" x14ac:dyDescent="0.25">
      <c r="A68" t="e">
        <f t="shared" si="2"/>
        <v>#REF!</v>
      </c>
      <c r="B68" t="s">
        <v>255</v>
      </c>
      <c r="F68" t="s">
        <v>239</v>
      </c>
      <c r="G68" t="s">
        <v>89</v>
      </c>
      <c r="H68" t="s">
        <v>47</v>
      </c>
      <c r="I68" t="s">
        <v>261</v>
      </c>
    </row>
    <row r="69" spans="1:14" ht="15" x14ac:dyDescent="0.25">
      <c r="A69" t="e">
        <f t="shared" si="2"/>
        <v>#REF!</v>
      </c>
      <c r="B69" t="s">
        <v>255</v>
      </c>
      <c r="F69" t="s">
        <v>242</v>
      </c>
      <c r="G69" t="s">
        <v>89</v>
      </c>
      <c r="H69" t="s">
        <v>47</v>
      </c>
      <c r="I69" t="s">
        <v>262</v>
      </c>
    </row>
    <row r="70" spans="1:14" ht="15" x14ac:dyDescent="0.25">
      <c r="A70" t="e">
        <f t="shared" si="2"/>
        <v>#REF!</v>
      </c>
      <c r="B70" t="s">
        <v>255</v>
      </c>
      <c r="F70" t="s">
        <v>232</v>
      </c>
      <c r="G70" t="s">
        <v>89</v>
      </c>
      <c r="H70" t="s">
        <v>47</v>
      </c>
      <c r="I70" t="s">
        <v>263</v>
      </c>
      <c r="N70" t="s">
        <v>234</v>
      </c>
    </row>
    <row r="71" spans="1:14" ht="15" x14ac:dyDescent="0.25">
      <c r="A71" t="e">
        <f t="shared" si="2"/>
        <v>#REF!</v>
      </c>
      <c r="B71" t="s">
        <v>255</v>
      </c>
      <c r="F71" t="s">
        <v>244</v>
      </c>
      <c r="G71" t="s">
        <v>89</v>
      </c>
      <c r="H71" t="s">
        <v>47</v>
      </c>
      <c r="I71" t="s">
        <v>264</v>
      </c>
    </row>
    <row r="72" spans="1:14" ht="15" x14ac:dyDescent="0.25">
      <c r="A72" t="e">
        <f t="shared" si="2"/>
        <v>#REF!</v>
      </c>
      <c r="B72" t="s">
        <v>255</v>
      </c>
      <c r="F72" t="s">
        <v>265</v>
      </c>
      <c r="G72" t="s">
        <v>89</v>
      </c>
      <c r="H72" t="s">
        <v>47</v>
      </c>
      <c r="I72" t="s">
        <v>266</v>
      </c>
    </row>
    <row r="73" spans="1:14" ht="15" x14ac:dyDescent="0.25">
      <c r="A73" t="e">
        <f t="shared" si="2"/>
        <v>#REF!</v>
      </c>
      <c r="B73" t="s">
        <v>255</v>
      </c>
      <c r="F73" t="s">
        <v>235</v>
      </c>
      <c r="G73" t="s">
        <v>89</v>
      </c>
      <c r="H73" t="s">
        <v>47</v>
      </c>
      <c r="I73" t="s">
        <v>267</v>
      </c>
    </row>
    <row r="74" spans="1:14" ht="15" x14ac:dyDescent="0.25">
      <c r="A74" t="e">
        <f t="shared" si="2"/>
        <v>#REF!</v>
      </c>
      <c r="B74" t="s">
        <v>255</v>
      </c>
      <c r="F74" t="s">
        <v>237</v>
      </c>
      <c r="G74" t="s">
        <v>89</v>
      </c>
      <c r="H74" t="s">
        <v>47</v>
      </c>
      <c r="I74" t="s">
        <v>238</v>
      </c>
    </row>
    <row r="75" spans="1:14" ht="15" x14ac:dyDescent="0.25">
      <c r="A75" t="e">
        <f t="shared" si="2"/>
        <v>#REF!</v>
      </c>
      <c r="B75" t="s">
        <v>255</v>
      </c>
      <c r="F75" t="s">
        <v>246</v>
      </c>
      <c r="G75" t="s">
        <v>89</v>
      </c>
      <c r="H75" t="s">
        <v>47</v>
      </c>
      <c r="I75" t="s">
        <v>268</v>
      </c>
    </row>
    <row r="76" spans="1:14" ht="15" x14ac:dyDescent="0.25">
      <c r="A76" t="e">
        <f t="shared" si="2"/>
        <v>#REF!</v>
      </c>
      <c r="B76" t="s">
        <v>255</v>
      </c>
      <c r="F76" t="s">
        <v>269</v>
      </c>
      <c r="G76" t="s">
        <v>89</v>
      </c>
      <c r="H76" t="s">
        <v>47</v>
      </c>
      <c r="I76" t="s">
        <v>270</v>
      </c>
      <c r="N76" t="s">
        <v>271</v>
      </c>
    </row>
    <row r="77" spans="1:14" ht="15" x14ac:dyDescent="0.25">
      <c r="A77" t="e">
        <f t="shared" si="2"/>
        <v>#REF!</v>
      </c>
      <c r="B77" t="s">
        <v>255</v>
      </c>
      <c r="F77" t="s">
        <v>250</v>
      </c>
      <c r="G77" t="s">
        <v>89</v>
      </c>
      <c r="H77" t="s">
        <v>47</v>
      </c>
      <c r="I77" t="s">
        <v>272</v>
      </c>
    </row>
    <row r="78" spans="1:14" ht="15" x14ac:dyDescent="0.25">
      <c r="A78" t="e">
        <f t="shared" si="2"/>
        <v>#REF!</v>
      </c>
      <c r="B78" t="s">
        <v>255</v>
      </c>
      <c r="F78" t="s">
        <v>205</v>
      </c>
      <c r="G78" t="s">
        <v>97</v>
      </c>
      <c r="H78" t="s">
        <v>47</v>
      </c>
      <c r="I78" t="s">
        <v>273</v>
      </c>
    </row>
    <row r="79" spans="1:14" ht="15" x14ac:dyDescent="0.25">
      <c r="A79" t="e">
        <f t="shared" si="2"/>
        <v>#REF!</v>
      </c>
      <c r="B79" t="s">
        <v>274</v>
      </c>
      <c r="F79" t="s">
        <v>156</v>
      </c>
      <c r="G79" t="s">
        <v>89</v>
      </c>
      <c r="H79" t="s">
        <v>47</v>
      </c>
      <c r="I79" t="s">
        <v>157</v>
      </c>
    </row>
    <row r="80" spans="1:14" ht="15" x14ac:dyDescent="0.25">
      <c r="A80" t="e">
        <f t="shared" si="2"/>
        <v>#REF!</v>
      </c>
      <c r="B80" t="s">
        <v>274</v>
      </c>
      <c r="F80" t="s">
        <v>275</v>
      </c>
      <c r="G80" t="s">
        <v>89</v>
      </c>
      <c r="H80" t="s">
        <v>47</v>
      </c>
      <c r="I80" t="s">
        <v>276</v>
      </c>
    </row>
    <row r="81" spans="1:17" ht="15" x14ac:dyDescent="0.25">
      <c r="A81" t="e">
        <f t="shared" si="2"/>
        <v>#REF!</v>
      </c>
      <c r="B81" t="s">
        <v>274</v>
      </c>
      <c r="F81" t="s">
        <v>252</v>
      </c>
      <c r="G81" t="s">
        <v>89</v>
      </c>
      <c r="H81" t="s">
        <v>47</v>
      </c>
      <c r="I81" t="s">
        <v>277</v>
      </c>
    </row>
    <row r="82" spans="1:17" ht="15" x14ac:dyDescent="0.25">
      <c r="A82" t="e">
        <f t="shared" si="2"/>
        <v>#REF!</v>
      </c>
      <c r="B82" t="s">
        <v>274</v>
      </c>
      <c r="F82" t="s">
        <v>158</v>
      </c>
      <c r="G82" t="s">
        <v>89</v>
      </c>
      <c r="H82" t="s">
        <v>47</v>
      </c>
      <c r="I82" t="s">
        <v>159</v>
      </c>
      <c r="J82" t="s">
        <v>278</v>
      </c>
    </row>
    <row r="83" spans="1:17" ht="15" x14ac:dyDescent="0.25">
      <c r="A83" t="e">
        <f t="shared" si="2"/>
        <v>#REF!</v>
      </c>
      <c r="B83" t="s">
        <v>274</v>
      </c>
      <c r="F83" t="s">
        <v>279</v>
      </c>
      <c r="G83" t="s">
        <v>89</v>
      </c>
      <c r="H83" t="s">
        <v>47</v>
      </c>
      <c r="I83" t="s">
        <v>280</v>
      </c>
    </row>
    <row r="84" spans="1:17" ht="15" x14ac:dyDescent="0.25">
      <c r="A84" t="e">
        <f t="shared" si="2"/>
        <v>#REF!</v>
      </c>
      <c r="B84" t="s">
        <v>274</v>
      </c>
      <c r="F84" t="s">
        <v>281</v>
      </c>
      <c r="G84" t="s">
        <v>89</v>
      </c>
      <c r="H84" t="s">
        <v>47</v>
      </c>
      <c r="I84" t="s">
        <v>282</v>
      </c>
    </row>
    <row r="85" spans="1:17" ht="15" x14ac:dyDescent="0.25">
      <c r="A85" t="e">
        <f t="shared" si="2"/>
        <v>#REF!</v>
      </c>
      <c r="B85" t="s">
        <v>274</v>
      </c>
      <c r="F85" t="s">
        <v>283</v>
      </c>
      <c r="G85" t="s">
        <v>89</v>
      </c>
      <c r="H85" t="s">
        <v>47</v>
      </c>
      <c r="I85" t="s">
        <v>284</v>
      </c>
      <c r="M85" t="s">
        <v>285</v>
      </c>
    </row>
    <row r="86" spans="1:17" ht="15" x14ac:dyDescent="0.25">
      <c r="A86" t="e">
        <f t="shared" si="2"/>
        <v>#REF!</v>
      </c>
      <c r="B86" t="s">
        <v>274</v>
      </c>
      <c r="F86" t="s">
        <v>250</v>
      </c>
      <c r="G86" t="s">
        <v>89</v>
      </c>
      <c r="H86" t="s">
        <v>47</v>
      </c>
      <c r="I86" t="s">
        <v>286</v>
      </c>
    </row>
    <row r="87" spans="1:17" ht="15" x14ac:dyDescent="0.25">
      <c r="A87" t="e">
        <f t="shared" si="2"/>
        <v>#REF!</v>
      </c>
      <c r="B87" t="s">
        <v>274</v>
      </c>
      <c r="F87" t="s">
        <v>287</v>
      </c>
      <c r="G87" t="s">
        <v>89</v>
      </c>
      <c r="H87" t="s">
        <v>47</v>
      </c>
      <c r="I87" t="s">
        <v>288</v>
      </c>
    </row>
    <row r="88" spans="1:17" ht="15" x14ac:dyDescent="0.25">
      <c r="A88" t="e">
        <f t="shared" si="2"/>
        <v>#REF!</v>
      </c>
      <c r="B88" t="s">
        <v>289</v>
      </c>
      <c r="F88" t="s">
        <v>290</v>
      </c>
      <c r="G88" t="s">
        <v>89</v>
      </c>
      <c r="H88" t="s">
        <v>47</v>
      </c>
      <c r="I88" t="s">
        <v>291</v>
      </c>
    </row>
    <row r="89" spans="1:17" ht="15" x14ac:dyDescent="0.25">
      <c r="A89" t="e">
        <f t="shared" si="2"/>
        <v>#REF!</v>
      </c>
      <c r="B89" t="s">
        <v>289</v>
      </c>
      <c r="F89" t="s">
        <v>292</v>
      </c>
      <c r="G89" t="s">
        <v>89</v>
      </c>
      <c r="H89" t="s">
        <v>47</v>
      </c>
      <c r="I89" t="s">
        <v>293</v>
      </c>
    </row>
    <row r="90" spans="1:17" ht="15" x14ac:dyDescent="0.25">
      <c r="A90" t="e">
        <f t="shared" si="2"/>
        <v>#REF!</v>
      </c>
      <c r="B90" t="s">
        <v>289</v>
      </c>
      <c r="F90" t="s">
        <v>129</v>
      </c>
      <c r="G90" t="s">
        <v>89</v>
      </c>
      <c r="H90" t="s">
        <v>47</v>
      </c>
      <c r="I90" t="s">
        <v>294</v>
      </c>
    </row>
    <row r="91" spans="1:17" ht="15" x14ac:dyDescent="0.25">
      <c r="A91" t="e">
        <f t="shared" si="2"/>
        <v>#REF!</v>
      </c>
      <c r="B91" t="s">
        <v>295</v>
      </c>
      <c r="F91" t="s">
        <v>296</v>
      </c>
      <c r="G91" t="s">
        <v>125</v>
      </c>
      <c r="H91" t="s">
        <v>47</v>
      </c>
      <c r="I91" t="s">
        <v>297</v>
      </c>
      <c r="Q91" s="20" t="s">
        <v>298</v>
      </c>
    </row>
    <row r="92" spans="1:17" ht="15" x14ac:dyDescent="0.25">
      <c r="A92" t="e">
        <f t="shared" si="2"/>
        <v>#REF!</v>
      </c>
      <c r="B92" t="s">
        <v>295</v>
      </c>
      <c r="F92" t="s">
        <v>290</v>
      </c>
      <c r="G92" t="s">
        <v>89</v>
      </c>
      <c r="H92" t="s">
        <v>47</v>
      </c>
      <c r="I92" t="s">
        <v>299</v>
      </c>
      <c r="Q92" s="20"/>
    </row>
  </sheetData>
  <mergeCells count="1">
    <mergeCell ref="Q91:Q9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32"/>
  <sheetViews>
    <sheetView topLeftCell="A15" workbookViewId="0">
      <selection activeCell="B21" sqref="B21"/>
    </sheetView>
  </sheetViews>
  <sheetFormatPr defaultColWidth="35.140625" defaultRowHeight="15" x14ac:dyDescent="0.25"/>
  <cols>
    <col min="1" max="1" width="35.140625" style="5"/>
    <col min="2" max="2" width="41" style="5" customWidth="1"/>
    <col min="3" max="8" width="35.140625" style="5"/>
    <col min="9" max="9" width="28.28515625" style="5" bestFit="1" customWidth="1"/>
    <col min="10" max="10" width="34.5703125" style="5" bestFit="1" customWidth="1"/>
    <col min="11" max="16384" width="35.140625" style="5"/>
  </cols>
  <sheetData>
    <row r="1" spans="1:31" s="11" customFormat="1" x14ac:dyDescent="0.25">
      <c r="A1" s="2" t="s">
        <v>41</v>
      </c>
      <c r="B1" s="12" t="s">
        <v>42</v>
      </c>
      <c r="C1" s="12" t="s">
        <v>792</v>
      </c>
      <c r="D1" s="12" t="s">
        <v>792</v>
      </c>
      <c r="E1" s="12" t="s">
        <v>792</v>
      </c>
      <c r="F1" s="12" t="s">
        <v>792</v>
      </c>
      <c r="G1" s="12" t="s">
        <v>792</v>
      </c>
      <c r="H1" s="12" t="s">
        <v>792</v>
      </c>
      <c r="I1" s="12" t="s">
        <v>792</v>
      </c>
      <c r="J1" s="12" t="s">
        <v>792</v>
      </c>
      <c r="K1" s="12" t="s">
        <v>792</v>
      </c>
      <c r="L1" s="12" t="s">
        <v>792</v>
      </c>
      <c r="M1" s="12" t="s">
        <v>792</v>
      </c>
      <c r="N1" s="12" t="s">
        <v>792</v>
      </c>
      <c r="O1" s="12" t="s">
        <v>792</v>
      </c>
      <c r="P1" s="12" t="s">
        <v>792</v>
      </c>
      <c r="Q1" s="12" t="s">
        <v>792</v>
      </c>
      <c r="R1" s="12" t="s">
        <v>792</v>
      </c>
      <c r="S1" s="12" t="s">
        <v>792</v>
      </c>
      <c r="T1" s="12" t="s">
        <v>792</v>
      </c>
      <c r="U1" s="12" t="s">
        <v>792</v>
      </c>
      <c r="V1" s="12" t="s">
        <v>792</v>
      </c>
      <c r="W1" s="12" t="s">
        <v>792</v>
      </c>
      <c r="X1" s="12" t="s">
        <v>792</v>
      </c>
      <c r="Y1" s="12" t="s">
        <v>792</v>
      </c>
      <c r="Z1" s="12" t="s">
        <v>792</v>
      </c>
      <c r="AA1" s="12" t="s">
        <v>792</v>
      </c>
      <c r="AB1" s="12" t="s">
        <v>792</v>
      </c>
      <c r="AC1" s="12" t="s">
        <v>792</v>
      </c>
      <c r="AD1" s="12" t="s">
        <v>792</v>
      </c>
      <c r="AE1" s="12" t="s">
        <v>792</v>
      </c>
    </row>
    <row r="2" spans="1:31" s="11" customFormat="1" x14ac:dyDescent="0.25">
      <c r="A2" s="13" t="s">
        <v>43</v>
      </c>
      <c r="B2" s="14" t="s">
        <v>44</v>
      </c>
      <c r="C2" s="14" t="s">
        <v>792</v>
      </c>
      <c r="D2" s="14" t="s">
        <v>792</v>
      </c>
      <c r="E2" s="14" t="s">
        <v>792</v>
      </c>
      <c r="F2" s="14" t="s">
        <v>792</v>
      </c>
      <c r="G2" s="14" t="s">
        <v>792</v>
      </c>
      <c r="H2" s="14" t="s">
        <v>792</v>
      </c>
      <c r="I2" s="14" t="s">
        <v>792</v>
      </c>
      <c r="J2" s="14" t="s">
        <v>792</v>
      </c>
      <c r="K2" s="14" t="s">
        <v>792</v>
      </c>
      <c r="L2" s="14" t="s">
        <v>792</v>
      </c>
      <c r="M2" s="14" t="s">
        <v>792</v>
      </c>
      <c r="N2" s="14" t="s">
        <v>792</v>
      </c>
      <c r="O2" s="14" t="s">
        <v>792</v>
      </c>
      <c r="P2" s="14" t="s">
        <v>792</v>
      </c>
      <c r="Q2" s="14" t="s">
        <v>792</v>
      </c>
      <c r="R2" s="14" t="s">
        <v>792</v>
      </c>
      <c r="S2" s="14" t="s">
        <v>792</v>
      </c>
      <c r="T2" s="14" t="s">
        <v>792</v>
      </c>
      <c r="U2" s="14" t="s">
        <v>792</v>
      </c>
      <c r="V2" s="14" t="s">
        <v>792</v>
      </c>
      <c r="W2" s="14" t="s">
        <v>792</v>
      </c>
      <c r="X2" s="14" t="s">
        <v>792</v>
      </c>
      <c r="Y2" s="14" t="s">
        <v>792</v>
      </c>
      <c r="Z2" s="14" t="s">
        <v>792</v>
      </c>
      <c r="AA2" s="14" t="s">
        <v>792</v>
      </c>
      <c r="AB2" s="14" t="s">
        <v>792</v>
      </c>
      <c r="AC2" s="14" t="s">
        <v>792</v>
      </c>
      <c r="AD2" s="14" t="s">
        <v>792</v>
      </c>
      <c r="AE2" s="14" t="s">
        <v>792</v>
      </c>
    </row>
    <row r="3" spans="1:31" s="11" customFormat="1" x14ac:dyDescent="0.25">
      <c r="A3" s="17" t="s">
        <v>45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s="11" customFormat="1" x14ac:dyDescent="0.25">
      <c r="A4" s="15" t="s">
        <v>46</v>
      </c>
      <c r="B4" s="16" t="s">
        <v>47</v>
      </c>
      <c r="C4" s="16" t="s">
        <v>792</v>
      </c>
      <c r="D4" s="16" t="s">
        <v>792</v>
      </c>
      <c r="E4" s="16" t="s">
        <v>792</v>
      </c>
      <c r="F4" s="16" t="s">
        <v>792</v>
      </c>
      <c r="G4" s="16" t="s">
        <v>792</v>
      </c>
      <c r="H4" s="16" t="s">
        <v>792</v>
      </c>
      <c r="I4" s="16" t="s">
        <v>792</v>
      </c>
      <c r="J4" s="16" t="s">
        <v>792</v>
      </c>
      <c r="K4" s="16" t="s">
        <v>792</v>
      </c>
      <c r="L4" s="16" t="s">
        <v>792</v>
      </c>
      <c r="M4" s="16" t="s">
        <v>792</v>
      </c>
      <c r="N4" s="16" t="s">
        <v>792</v>
      </c>
      <c r="O4" s="16" t="s">
        <v>792</v>
      </c>
      <c r="P4" s="16" t="s">
        <v>792</v>
      </c>
      <c r="Q4" s="16" t="s">
        <v>792</v>
      </c>
      <c r="R4" s="16" t="s">
        <v>792</v>
      </c>
      <c r="S4" s="16" t="s">
        <v>792</v>
      </c>
      <c r="T4" s="16" t="s">
        <v>792</v>
      </c>
      <c r="U4" s="16" t="s">
        <v>792</v>
      </c>
      <c r="V4" s="16" t="s">
        <v>792</v>
      </c>
      <c r="W4" s="16" t="s">
        <v>792</v>
      </c>
      <c r="X4" s="16" t="s">
        <v>792</v>
      </c>
      <c r="Y4" s="16" t="s">
        <v>792</v>
      </c>
      <c r="Z4" s="16" t="s">
        <v>792</v>
      </c>
      <c r="AA4" s="16" t="s">
        <v>792</v>
      </c>
      <c r="AB4" s="16" t="s">
        <v>792</v>
      </c>
      <c r="AC4" s="16" t="s">
        <v>792</v>
      </c>
      <c r="AD4" s="16" t="s">
        <v>792</v>
      </c>
      <c r="AE4" s="16" t="s">
        <v>792</v>
      </c>
    </row>
    <row r="5" spans="1:31" s="11" customFormat="1" ht="30" x14ac:dyDescent="0.25">
      <c r="A5" s="15" t="s">
        <v>48</v>
      </c>
      <c r="B5" s="16" t="s">
        <v>49</v>
      </c>
      <c r="C5" s="16" t="s">
        <v>792</v>
      </c>
      <c r="D5" s="16" t="s">
        <v>792</v>
      </c>
      <c r="E5" s="16" t="s">
        <v>792</v>
      </c>
      <c r="F5" s="16" t="s">
        <v>792</v>
      </c>
      <c r="G5" s="16" t="s">
        <v>792</v>
      </c>
      <c r="H5" s="16" t="s">
        <v>792</v>
      </c>
      <c r="I5" s="16" t="s">
        <v>792</v>
      </c>
      <c r="J5" s="16" t="s">
        <v>792</v>
      </c>
      <c r="K5" s="16" t="s">
        <v>792</v>
      </c>
      <c r="L5" s="16" t="s">
        <v>792</v>
      </c>
      <c r="M5" s="16" t="s">
        <v>792</v>
      </c>
      <c r="N5" s="16" t="s">
        <v>792</v>
      </c>
      <c r="O5" s="16" t="s">
        <v>792</v>
      </c>
      <c r="P5" s="16" t="s">
        <v>792</v>
      </c>
      <c r="Q5" s="16" t="s">
        <v>792</v>
      </c>
      <c r="R5" s="16" t="s">
        <v>792</v>
      </c>
      <c r="S5" s="16" t="s">
        <v>792</v>
      </c>
      <c r="T5" s="16" t="s">
        <v>792</v>
      </c>
      <c r="U5" s="16" t="s">
        <v>792</v>
      </c>
      <c r="V5" s="16" t="s">
        <v>792</v>
      </c>
      <c r="W5" s="16" t="s">
        <v>792</v>
      </c>
      <c r="X5" s="16" t="s">
        <v>792</v>
      </c>
      <c r="Y5" s="16" t="s">
        <v>792</v>
      </c>
      <c r="Z5" s="16" t="s">
        <v>792</v>
      </c>
      <c r="AA5" s="16" t="s">
        <v>792</v>
      </c>
      <c r="AB5" s="16" t="s">
        <v>792</v>
      </c>
      <c r="AC5" s="16" t="s">
        <v>792</v>
      </c>
      <c r="AD5" s="16" t="s">
        <v>792</v>
      </c>
      <c r="AE5" s="16" t="s">
        <v>792</v>
      </c>
    </row>
    <row r="6" spans="1:31" s="11" customFormat="1" x14ac:dyDescent="0.25">
      <c r="A6" s="15" t="s">
        <v>50</v>
      </c>
      <c r="B6" s="16" t="s">
        <v>793</v>
      </c>
      <c r="C6" s="16" t="s">
        <v>792</v>
      </c>
      <c r="D6" s="16" t="s">
        <v>792</v>
      </c>
      <c r="E6" s="16" t="s">
        <v>792</v>
      </c>
      <c r="F6" s="16" t="s">
        <v>792</v>
      </c>
      <c r="G6" s="16" t="s">
        <v>792</v>
      </c>
      <c r="H6" s="16" t="s">
        <v>792</v>
      </c>
      <c r="I6" s="16" t="s">
        <v>792</v>
      </c>
      <c r="J6" s="16" t="s">
        <v>792</v>
      </c>
      <c r="K6" s="16" t="s">
        <v>792</v>
      </c>
      <c r="L6" s="16" t="s">
        <v>792</v>
      </c>
      <c r="M6" s="16" t="s">
        <v>792</v>
      </c>
      <c r="N6" s="16" t="s">
        <v>792</v>
      </c>
      <c r="O6" s="16" t="s">
        <v>792</v>
      </c>
      <c r="P6" s="16" t="s">
        <v>792</v>
      </c>
      <c r="Q6" s="16" t="s">
        <v>792</v>
      </c>
      <c r="R6" s="16" t="s">
        <v>792</v>
      </c>
      <c r="S6" s="16" t="s">
        <v>792</v>
      </c>
      <c r="T6" s="16" t="s">
        <v>792</v>
      </c>
      <c r="U6" s="16" t="s">
        <v>792</v>
      </c>
      <c r="V6" s="16" t="s">
        <v>792</v>
      </c>
      <c r="W6" s="16" t="s">
        <v>792</v>
      </c>
      <c r="X6" s="16" t="s">
        <v>792</v>
      </c>
      <c r="Y6" s="16" t="s">
        <v>792</v>
      </c>
      <c r="Z6" s="16" t="s">
        <v>792</v>
      </c>
      <c r="AA6" s="16" t="s">
        <v>792</v>
      </c>
      <c r="AB6" s="16" t="s">
        <v>792</v>
      </c>
      <c r="AC6" s="16" t="s">
        <v>792</v>
      </c>
      <c r="AD6" s="16" t="s">
        <v>792</v>
      </c>
      <c r="AE6" s="16" t="s">
        <v>792</v>
      </c>
    </row>
    <row r="7" spans="1:31" s="11" customFormat="1" ht="30" x14ac:dyDescent="0.25">
      <c r="A7" s="15" t="s">
        <v>51</v>
      </c>
      <c r="B7" s="16" t="s">
        <v>794</v>
      </c>
      <c r="C7" s="16" t="s">
        <v>792</v>
      </c>
      <c r="D7" s="16" t="s">
        <v>792</v>
      </c>
      <c r="E7" s="16" t="s">
        <v>792</v>
      </c>
      <c r="F7" s="16" t="s">
        <v>792</v>
      </c>
      <c r="G7" s="16" t="s">
        <v>792</v>
      </c>
      <c r="H7" s="16" t="s">
        <v>792</v>
      </c>
      <c r="I7" s="16" t="s">
        <v>792</v>
      </c>
      <c r="J7" s="16" t="s">
        <v>792</v>
      </c>
      <c r="K7" s="16" t="s">
        <v>792</v>
      </c>
      <c r="L7" s="16" t="s">
        <v>792</v>
      </c>
      <c r="M7" s="16" t="s">
        <v>792</v>
      </c>
      <c r="N7" s="16" t="s">
        <v>792</v>
      </c>
      <c r="O7" s="16" t="s">
        <v>792</v>
      </c>
      <c r="P7" s="16" t="s">
        <v>792</v>
      </c>
      <c r="Q7" s="16" t="s">
        <v>792</v>
      </c>
      <c r="R7" s="16" t="s">
        <v>792</v>
      </c>
      <c r="S7" s="16" t="s">
        <v>792</v>
      </c>
      <c r="T7" s="16" t="s">
        <v>792</v>
      </c>
      <c r="U7" s="16" t="s">
        <v>792</v>
      </c>
      <c r="V7" s="16" t="s">
        <v>792</v>
      </c>
      <c r="W7" s="16" t="s">
        <v>792</v>
      </c>
      <c r="X7" s="16" t="s">
        <v>792</v>
      </c>
      <c r="Y7" s="16" t="s">
        <v>792</v>
      </c>
      <c r="Z7" s="16" t="s">
        <v>792</v>
      </c>
      <c r="AA7" s="16" t="s">
        <v>792</v>
      </c>
      <c r="AB7" s="16" t="s">
        <v>792</v>
      </c>
      <c r="AC7" s="16" t="s">
        <v>792</v>
      </c>
      <c r="AD7" s="16" t="s">
        <v>792</v>
      </c>
      <c r="AE7" s="16" t="s">
        <v>792</v>
      </c>
    </row>
    <row r="8" spans="1:31" s="11" customFormat="1" ht="30" x14ac:dyDescent="0.25">
      <c r="A8" s="15" t="s">
        <v>52</v>
      </c>
      <c r="B8" s="16" t="s">
        <v>53</v>
      </c>
      <c r="C8" s="16" t="s">
        <v>792</v>
      </c>
      <c r="D8" s="16" t="s">
        <v>792</v>
      </c>
      <c r="E8" s="16" t="s">
        <v>792</v>
      </c>
      <c r="F8" s="16" t="s">
        <v>792</v>
      </c>
      <c r="G8" s="16" t="s">
        <v>792</v>
      </c>
      <c r="H8" s="16" t="s">
        <v>792</v>
      </c>
      <c r="I8" s="16" t="s">
        <v>792</v>
      </c>
      <c r="J8" s="16" t="s">
        <v>792</v>
      </c>
      <c r="K8" s="16" t="s">
        <v>792</v>
      </c>
      <c r="L8" s="16" t="s">
        <v>792</v>
      </c>
      <c r="M8" s="16" t="s">
        <v>792</v>
      </c>
      <c r="N8" s="16" t="s">
        <v>792</v>
      </c>
      <c r="O8" s="16" t="s">
        <v>792</v>
      </c>
      <c r="P8" s="16" t="s">
        <v>792</v>
      </c>
      <c r="Q8" s="16" t="s">
        <v>792</v>
      </c>
      <c r="R8" s="16" t="s">
        <v>792</v>
      </c>
      <c r="S8" s="16" t="s">
        <v>792</v>
      </c>
      <c r="T8" s="16" t="s">
        <v>792</v>
      </c>
      <c r="U8" s="16" t="s">
        <v>792</v>
      </c>
      <c r="V8" s="16" t="s">
        <v>792</v>
      </c>
      <c r="W8" s="16" t="s">
        <v>792</v>
      </c>
      <c r="X8" s="16" t="s">
        <v>792</v>
      </c>
      <c r="Y8" s="16" t="s">
        <v>792</v>
      </c>
      <c r="Z8" s="16" t="s">
        <v>792</v>
      </c>
      <c r="AA8" s="16" t="s">
        <v>792</v>
      </c>
      <c r="AB8" s="16" t="s">
        <v>792</v>
      </c>
      <c r="AC8" s="16" t="s">
        <v>792</v>
      </c>
      <c r="AD8" s="16" t="s">
        <v>792</v>
      </c>
      <c r="AE8" s="16" t="s">
        <v>792</v>
      </c>
    </row>
    <row r="9" spans="1:31" s="11" customFormat="1" ht="30" x14ac:dyDescent="0.25">
      <c r="A9" s="15" t="s">
        <v>54</v>
      </c>
      <c r="B9" s="16" t="s">
        <v>55</v>
      </c>
      <c r="C9" s="16" t="s">
        <v>792</v>
      </c>
      <c r="D9" s="16" t="s">
        <v>792</v>
      </c>
      <c r="E9" s="16" t="s">
        <v>792</v>
      </c>
      <c r="F9" s="16" t="s">
        <v>792</v>
      </c>
      <c r="G9" s="16" t="s">
        <v>792</v>
      </c>
      <c r="H9" s="16" t="s">
        <v>792</v>
      </c>
      <c r="I9" s="16" t="s">
        <v>792</v>
      </c>
      <c r="J9" s="16" t="s">
        <v>792</v>
      </c>
      <c r="K9" s="16" t="s">
        <v>792</v>
      </c>
      <c r="L9" s="16" t="s">
        <v>792</v>
      </c>
      <c r="M9" s="16" t="s">
        <v>792</v>
      </c>
      <c r="N9" s="16" t="s">
        <v>792</v>
      </c>
      <c r="O9" s="16" t="s">
        <v>792</v>
      </c>
      <c r="P9" s="16" t="s">
        <v>792</v>
      </c>
      <c r="Q9" s="16" t="s">
        <v>792</v>
      </c>
      <c r="R9" s="16" t="s">
        <v>792</v>
      </c>
      <c r="S9" s="16" t="s">
        <v>792</v>
      </c>
      <c r="T9" s="16" t="s">
        <v>792</v>
      </c>
      <c r="U9" s="16" t="s">
        <v>792</v>
      </c>
      <c r="V9" s="16" t="s">
        <v>792</v>
      </c>
      <c r="W9" s="16" t="s">
        <v>792</v>
      </c>
      <c r="X9" s="16" t="s">
        <v>792</v>
      </c>
      <c r="Y9" s="16" t="s">
        <v>792</v>
      </c>
      <c r="Z9" s="16" t="s">
        <v>792</v>
      </c>
      <c r="AA9" s="16" t="s">
        <v>792</v>
      </c>
      <c r="AB9" s="16" t="s">
        <v>792</v>
      </c>
      <c r="AC9" s="16" t="s">
        <v>792</v>
      </c>
      <c r="AD9" s="16" t="s">
        <v>792</v>
      </c>
      <c r="AE9" s="16" t="s">
        <v>792</v>
      </c>
    </row>
    <row r="10" spans="1:31" s="1" customFormat="1" x14ac:dyDescent="0.25">
      <c r="A10" s="18" t="s">
        <v>56</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s="11" customFormat="1" ht="60" x14ac:dyDescent="0.25">
      <c r="A11" s="2" t="s">
        <v>57</v>
      </c>
      <c r="B11" s="2" t="s">
        <v>58</v>
      </c>
      <c r="C11" s="2" t="s">
        <v>59</v>
      </c>
      <c r="D11" s="2" t="s">
        <v>60</v>
      </c>
      <c r="E11" s="2" t="s">
        <v>61</v>
      </c>
      <c r="F11" s="2" t="s">
        <v>62</v>
      </c>
      <c r="G11" s="2" t="s">
        <v>63</v>
      </c>
      <c r="H11" s="2" t="s">
        <v>64</v>
      </c>
      <c r="I11" s="2" t="s">
        <v>65</v>
      </c>
      <c r="J11" s="2" t="s">
        <v>66</v>
      </c>
      <c r="K11" s="2" t="s">
        <v>67</v>
      </c>
      <c r="L11" s="2" t="s">
        <v>68</v>
      </c>
      <c r="M11" s="2" t="s">
        <v>69</v>
      </c>
      <c r="N11" s="2" t="s">
        <v>70</v>
      </c>
      <c r="O11" s="2" t="s">
        <v>71</v>
      </c>
      <c r="P11" s="2" t="s">
        <v>72</v>
      </c>
      <c r="Q11" s="2" t="s">
        <v>73</v>
      </c>
      <c r="R11" s="2" t="s">
        <v>74</v>
      </c>
      <c r="S11" s="2" t="s">
        <v>75</v>
      </c>
      <c r="T11" s="2" t="s">
        <v>76</v>
      </c>
      <c r="U11" s="2" t="s">
        <v>795</v>
      </c>
      <c r="V11" s="2" t="s">
        <v>796</v>
      </c>
      <c r="W11" s="2" t="s">
        <v>797</v>
      </c>
      <c r="X11" s="2" t="s">
        <v>80</v>
      </c>
      <c r="Y11" s="2" t="s">
        <v>81</v>
      </c>
      <c r="Z11" s="2" t="s">
        <v>82</v>
      </c>
      <c r="AA11" s="2" t="s">
        <v>83</v>
      </c>
      <c r="AB11" s="2" t="s">
        <v>84</v>
      </c>
      <c r="AC11" s="2" t="s">
        <v>85</v>
      </c>
      <c r="AD11" s="2" t="s">
        <v>86</v>
      </c>
      <c r="AE11" s="2" t="s">
        <v>87</v>
      </c>
    </row>
    <row r="12" spans="1:31" s="1" customFormat="1" ht="105" x14ac:dyDescent="0.25">
      <c r="A12" s="1">
        <v>1</v>
      </c>
      <c r="B12" s="27" t="s">
        <v>858</v>
      </c>
      <c r="C12" s="1" t="s">
        <v>792</v>
      </c>
      <c r="D12" s="1" t="s">
        <v>792</v>
      </c>
      <c r="E12" s="1" t="s">
        <v>792</v>
      </c>
      <c r="L12" s="1" t="s">
        <v>792</v>
      </c>
      <c r="M12" s="1" t="s">
        <v>792</v>
      </c>
      <c r="N12" s="1" t="s">
        <v>792</v>
      </c>
      <c r="O12" s="28" t="s">
        <v>88</v>
      </c>
      <c r="P12" s="28" t="s">
        <v>88</v>
      </c>
      <c r="Q12" s="1" t="s">
        <v>849</v>
      </c>
      <c r="R12" s="1" t="s">
        <v>47</v>
      </c>
      <c r="S12" s="1" t="s">
        <v>826</v>
      </c>
      <c r="T12" s="1" t="s">
        <v>798</v>
      </c>
      <c r="U12" s="1" t="s">
        <v>90</v>
      </c>
      <c r="V12" s="1" t="s">
        <v>90</v>
      </c>
      <c r="W12" s="1" t="s">
        <v>792</v>
      </c>
      <c r="X12" s="1" t="s">
        <v>792</v>
      </c>
      <c r="Y12" s="1" t="s">
        <v>792</v>
      </c>
      <c r="Z12" s="1" t="s">
        <v>47</v>
      </c>
      <c r="AA12" s="1" t="s">
        <v>792</v>
      </c>
      <c r="AB12" s="1" t="s">
        <v>792</v>
      </c>
      <c r="AC12" s="1" t="s">
        <v>792</v>
      </c>
      <c r="AD12" s="1" t="s">
        <v>792</v>
      </c>
      <c r="AE12" s="1" t="s">
        <v>792</v>
      </c>
    </row>
    <row r="13" spans="1:31" s="1" customFormat="1" ht="150" x14ac:dyDescent="0.25">
      <c r="A13" s="1">
        <v>2</v>
      </c>
      <c r="B13" s="27" t="s">
        <v>858</v>
      </c>
      <c r="C13" s="1" t="s">
        <v>792</v>
      </c>
      <c r="D13" s="1" t="s">
        <v>792</v>
      </c>
      <c r="E13" s="1" t="s">
        <v>792</v>
      </c>
      <c r="L13" s="1" t="s">
        <v>792</v>
      </c>
      <c r="M13" s="1" t="s">
        <v>792</v>
      </c>
      <c r="N13" s="1" t="s">
        <v>792</v>
      </c>
      <c r="O13" s="28" t="s">
        <v>92</v>
      </c>
      <c r="P13" s="28" t="s">
        <v>92</v>
      </c>
      <c r="Q13" s="1" t="s">
        <v>93</v>
      </c>
      <c r="R13" s="1" t="s">
        <v>47</v>
      </c>
      <c r="S13" s="1" t="s">
        <v>827</v>
      </c>
      <c r="T13" s="1" t="s">
        <v>799</v>
      </c>
      <c r="U13" s="1" t="s">
        <v>90</v>
      </c>
      <c r="V13" s="1" t="s">
        <v>90</v>
      </c>
      <c r="W13" s="1" t="s">
        <v>792</v>
      </c>
      <c r="X13" s="1" t="s">
        <v>792</v>
      </c>
      <c r="Y13" s="1" t="s">
        <v>792</v>
      </c>
      <c r="Z13" s="1" t="s">
        <v>47</v>
      </c>
      <c r="AA13" s="1" t="s">
        <v>792</v>
      </c>
      <c r="AB13" s="1" t="s">
        <v>792</v>
      </c>
      <c r="AC13" s="1" t="s">
        <v>792</v>
      </c>
      <c r="AD13" s="1" t="s">
        <v>792</v>
      </c>
      <c r="AE13" s="1" t="s">
        <v>792</v>
      </c>
    </row>
    <row r="14" spans="1:31" s="1" customFormat="1" ht="135" x14ac:dyDescent="0.25">
      <c r="A14" s="1">
        <v>3</v>
      </c>
      <c r="B14" s="27" t="s">
        <v>858</v>
      </c>
      <c r="C14" s="1" t="s">
        <v>792</v>
      </c>
      <c r="D14" s="1" t="s">
        <v>792</v>
      </c>
      <c r="E14" s="1" t="s">
        <v>792</v>
      </c>
      <c r="L14" s="1" t="s">
        <v>792</v>
      </c>
      <c r="M14" s="1" t="s">
        <v>792</v>
      </c>
      <c r="N14" s="1" t="s">
        <v>792</v>
      </c>
      <c r="O14" s="28" t="s">
        <v>117</v>
      </c>
      <c r="P14" s="28" t="s">
        <v>117</v>
      </c>
      <c r="Q14" s="1" t="s">
        <v>91</v>
      </c>
      <c r="R14" s="1" t="s">
        <v>90</v>
      </c>
      <c r="S14" s="1" t="s">
        <v>828</v>
      </c>
      <c r="T14" s="1" t="s">
        <v>800</v>
      </c>
      <c r="U14" s="1" t="s">
        <v>47</v>
      </c>
      <c r="V14" s="1" t="s">
        <v>90</v>
      </c>
      <c r="W14" s="1" t="s">
        <v>792</v>
      </c>
      <c r="X14" s="1" t="s">
        <v>792</v>
      </c>
      <c r="Y14" s="1" t="s">
        <v>792</v>
      </c>
      <c r="Z14" s="1" t="s">
        <v>792</v>
      </c>
      <c r="AA14" s="1" t="s">
        <v>792</v>
      </c>
      <c r="AB14" s="1" t="s">
        <v>792</v>
      </c>
      <c r="AC14" s="1" t="s">
        <v>792</v>
      </c>
      <c r="AD14" s="1" t="s">
        <v>792</v>
      </c>
      <c r="AE14" s="1" t="s">
        <v>792</v>
      </c>
    </row>
    <row r="15" spans="1:31" s="1" customFormat="1" ht="60" x14ac:dyDescent="0.25">
      <c r="A15" s="1">
        <v>4</v>
      </c>
      <c r="B15" s="27" t="s">
        <v>858</v>
      </c>
      <c r="C15" s="1" t="s">
        <v>792</v>
      </c>
      <c r="D15" s="1" t="s">
        <v>792</v>
      </c>
      <c r="E15" s="1" t="s">
        <v>792</v>
      </c>
      <c r="L15" s="1" t="s">
        <v>792</v>
      </c>
      <c r="M15" s="1" t="s">
        <v>792</v>
      </c>
      <c r="N15" s="1" t="s">
        <v>792</v>
      </c>
      <c r="O15" s="28" t="s">
        <v>844</v>
      </c>
      <c r="P15" s="28" t="s">
        <v>844</v>
      </c>
      <c r="Q15" s="1" t="s">
        <v>91</v>
      </c>
      <c r="R15" s="1" t="s">
        <v>47</v>
      </c>
      <c r="S15" s="1" t="s">
        <v>817</v>
      </c>
      <c r="T15" s="1" t="s">
        <v>95</v>
      </c>
      <c r="U15" s="1" t="s">
        <v>90</v>
      </c>
      <c r="V15" s="1" t="s">
        <v>47</v>
      </c>
      <c r="W15" s="1" t="s">
        <v>792</v>
      </c>
      <c r="X15" s="1" t="s">
        <v>792</v>
      </c>
      <c r="Y15" s="1" t="s">
        <v>792</v>
      </c>
      <c r="Z15" s="1" t="s">
        <v>47</v>
      </c>
      <c r="AA15" s="1" t="s">
        <v>792</v>
      </c>
      <c r="AB15" s="1" t="s">
        <v>792</v>
      </c>
      <c r="AC15" s="1" t="s">
        <v>792</v>
      </c>
      <c r="AD15" s="1" t="s">
        <v>792</v>
      </c>
      <c r="AE15" s="1" t="s">
        <v>792</v>
      </c>
    </row>
    <row r="16" spans="1:31" s="1" customFormat="1" ht="60" x14ac:dyDescent="0.25">
      <c r="A16" s="1">
        <v>5</v>
      </c>
      <c r="B16" s="27" t="s">
        <v>858</v>
      </c>
      <c r="C16" s="1" t="s">
        <v>792</v>
      </c>
      <c r="D16" s="1" t="s">
        <v>792</v>
      </c>
      <c r="E16" s="1" t="s">
        <v>792</v>
      </c>
      <c r="L16" s="1" t="s">
        <v>792</v>
      </c>
      <c r="M16" s="1" t="s">
        <v>792</v>
      </c>
      <c r="N16" s="1" t="s">
        <v>792</v>
      </c>
      <c r="O16" s="28" t="s">
        <v>848</v>
      </c>
      <c r="P16" s="28" t="s">
        <v>848</v>
      </c>
      <c r="Q16" s="1" t="s">
        <v>849</v>
      </c>
      <c r="R16" s="1" t="s">
        <v>47</v>
      </c>
      <c r="S16" s="1" t="s">
        <v>818</v>
      </c>
      <c r="T16" s="1" t="s">
        <v>98</v>
      </c>
      <c r="U16" s="1" t="s">
        <v>47</v>
      </c>
      <c r="V16" s="1" t="s">
        <v>47</v>
      </c>
      <c r="W16" s="1" t="s">
        <v>792</v>
      </c>
      <c r="X16" s="1" t="s">
        <v>792</v>
      </c>
      <c r="Y16" s="1" t="s">
        <v>792</v>
      </c>
      <c r="Z16" s="1" t="s">
        <v>792</v>
      </c>
      <c r="AA16" s="1" t="s">
        <v>792</v>
      </c>
      <c r="AB16" s="1" t="s">
        <v>792</v>
      </c>
      <c r="AC16" s="1" t="s">
        <v>792</v>
      </c>
      <c r="AD16" s="1" t="s">
        <v>792</v>
      </c>
      <c r="AE16" s="1" t="s">
        <v>792</v>
      </c>
    </row>
    <row r="17" spans="1:31" s="1" customFormat="1" ht="60" x14ac:dyDescent="0.25">
      <c r="A17" s="1">
        <v>6</v>
      </c>
      <c r="B17" s="27" t="s">
        <v>858</v>
      </c>
      <c r="C17" s="1" t="s">
        <v>792</v>
      </c>
      <c r="D17" s="1" t="s">
        <v>792</v>
      </c>
      <c r="E17" s="1" t="s">
        <v>792</v>
      </c>
      <c r="L17" s="1" t="s">
        <v>792</v>
      </c>
      <c r="M17" s="1" t="s">
        <v>792</v>
      </c>
      <c r="N17" s="1" t="s">
        <v>792</v>
      </c>
      <c r="O17" s="28" t="s">
        <v>101</v>
      </c>
      <c r="P17" s="28" t="s">
        <v>101</v>
      </c>
      <c r="Q17" s="1" t="s">
        <v>91</v>
      </c>
      <c r="R17" s="1" t="s">
        <v>47</v>
      </c>
      <c r="S17" s="1" t="s">
        <v>817</v>
      </c>
      <c r="T17" s="1" t="s">
        <v>100</v>
      </c>
      <c r="U17" s="1" t="s">
        <v>90</v>
      </c>
      <c r="V17" s="1" t="s">
        <v>47</v>
      </c>
      <c r="W17" s="1" t="s">
        <v>792</v>
      </c>
      <c r="X17" s="1" t="s">
        <v>792</v>
      </c>
      <c r="Y17" s="1" t="s">
        <v>792</v>
      </c>
      <c r="Z17" s="1" t="s">
        <v>792</v>
      </c>
      <c r="AA17" s="1" t="s">
        <v>792</v>
      </c>
      <c r="AB17" s="1" t="s">
        <v>792</v>
      </c>
      <c r="AC17" s="1" t="s">
        <v>792</v>
      </c>
      <c r="AD17" s="1" t="s">
        <v>792</v>
      </c>
      <c r="AE17" s="1" t="s">
        <v>792</v>
      </c>
    </row>
    <row r="18" spans="1:31" s="1" customFormat="1" ht="60" x14ac:dyDescent="0.25">
      <c r="A18" s="1">
        <v>7</v>
      </c>
      <c r="B18" s="27" t="s">
        <v>858</v>
      </c>
      <c r="C18" s="1" t="s">
        <v>792</v>
      </c>
      <c r="D18" s="1" t="s">
        <v>792</v>
      </c>
      <c r="E18" s="1" t="s">
        <v>792</v>
      </c>
      <c r="L18" s="1" t="s">
        <v>792</v>
      </c>
      <c r="M18" s="1" t="s">
        <v>792</v>
      </c>
      <c r="N18" s="1" t="s">
        <v>792</v>
      </c>
      <c r="O18" s="28" t="s">
        <v>102</v>
      </c>
      <c r="P18" s="28" t="s">
        <v>102</v>
      </c>
      <c r="Q18" s="1" t="s">
        <v>91</v>
      </c>
      <c r="R18" s="1" t="s">
        <v>47</v>
      </c>
      <c r="S18" s="1" t="s">
        <v>829</v>
      </c>
      <c r="T18" s="1" t="s">
        <v>801</v>
      </c>
      <c r="U18" s="1" t="s">
        <v>47</v>
      </c>
      <c r="V18" s="1" t="s">
        <v>47</v>
      </c>
      <c r="W18" s="1" t="s">
        <v>792</v>
      </c>
      <c r="X18" s="1" t="s">
        <v>792</v>
      </c>
      <c r="Y18" s="1" t="s">
        <v>792</v>
      </c>
      <c r="Z18" s="1" t="s">
        <v>47</v>
      </c>
      <c r="AA18" s="1" t="s">
        <v>792</v>
      </c>
      <c r="AB18" s="1" t="s">
        <v>792</v>
      </c>
      <c r="AC18" s="1" t="s">
        <v>792</v>
      </c>
      <c r="AD18" s="1" t="s">
        <v>792</v>
      </c>
      <c r="AE18" s="1" t="s">
        <v>90</v>
      </c>
    </row>
    <row r="19" spans="1:31" s="1" customFormat="1" ht="60" x14ac:dyDescent="0.25">
      <c r="A19" s="1">
        <v>8</v>
      </c>
      <c r="B19" s="27" t="s">
        <v>858</v>
      </c>
      <c r="C19" s="1" t="s">
        <v>792</v>
      </c>
      <c r="D19" s="1" t="s">
        <v>792</v>
      </c>
      <c r="E19" s="1" t="s">
        <v>792</v>
      </c>
      <c r="L19" s="1" t="s">
        <v>792</v>
      </c>
      <c r="M19" s="1" t="s">
        <v>792</v>
      </c>
      <c r="N19" s="1" t="s">
        <v>792</v>
      </c>
      <c r="O19" s="28" t="s">
        <v>859</v>
      </c>
      <c r="P19" s="28" t="s">
        <v>859</v>
      </c>
      <c r="Q19" s="1" t="s">
        <v>93</v>
      </c>
      <c r="R19" s="1" t="s">
        <v>47</v>
      </c>
      <c r="S19" s="1" t="s">
        <v>829</v>
      </c>
      <c r="T19" s="1" t="s">
        <v>802</v>
      </c>
      <c r="U19" s="1" t="s">
        <v>47</v>
      </c>
      <c r="V19" s="1" t="s">
        <v>47</v>
      </c>
      <c r="W19" s="1" t="s">
        <v>792</v>
      </c>
      <c r="X19" s="1" t="s">
        <v>792</v>
      </c>
      <c r="Y19" s="1" t="s">
        <v>792</v>
      </c>
      <c r="Z19" s="1" t="s">
        <v>47</v>
      </c>
      <c r="AA19" s="1" t="s">
        <v>792</v>
      </c>
      <c r="AB19" s="1" t="s">
        <v>792</v>
      </c>
      <c r="AC19" s="1" t="s">
        <v>792</v>
      </c>
      <c r="AD19" s="1" t="s">
        <v>792</v>
      </c>
      <c r="AE19" s="1" t="s">
        <v>90</v>
      </c>
    </row>
    <row r="20" spans="1:31" s="1" customFormat="1" ht="150" x14ac:dyDescent="0.25">
      <c r="A20" s="1">
        <v>10</v>
      </c>
      <c r="B20" s="27" t="s">
        <v>858</v>
      </c>
      <c r="C20" s="1" t="s">
        <v>792</v>
      </c>
      <c r="D20" s="1" t="s">
        <v>792</v>
      </c>
      <c r="E20" s="1" t="s">
        <v>792</v>
      </c>
      <c r="L20" s="1" t="s">
        <v>792</v>
      </c>
      <c r="M20" s="1" t="s">
        <v>792</v>
      </c>
      <c r="N20" s="1" t="s">
        <v>792</v>
      </c>
      <c r="O20" s="28" t="s">
        <v>104</v>
      </c>
      <c r="P20" s="28" t="s">
        <v>104</v>
      </c>
      <c r="Q20" s="1" t="s">
        <v>93</v>
      </c>
      <c r="R20" s="1" t="s">
        <v>47</v>
      </c>
      <c r="S20" s="1" t="s">
        <v>819</v>
      </c>
      <c r="T20" s="1" t="s">
        <v>803</v>
      </c>
      <c r="U20" s="1" t="s">
        <v>47</v>
      </c>
      <c r="V20" s="1" t="s">
        <v>47</v>
      </c>
      <c r="W20" s="1" t="s">
        <v>792</v>
      </c>
      <c r="X20" s="1" t="s">
        <v>792</v>
      </c>
      <c r="Y20" s="1" t="s">
        <v>792</v>
      </c>
      <c r="Z20" s="1" t="s">
        <v>792</v>
      </c>
      <c r="AA20" s="1" t="s">
        <v>792</v>
      </c>
      <c r="AB20" s="1" t="s">
        <v>792</v>
      </c>
      <c r="AC20" s="1" t="s">
        <v>792</v>
      </c>
      <c r="AD20" s="1" t="s">
        <v>792</v>
      </c>
      <c r="AE20" s="1" t="s">
        <v>792</v>
      </c>
    </row>
    <row r="21" spans="1:31" s="1" customFormat="1" ht="105" x14ac:dyDescent="0.25">
      <c r="A21" s="1">
        <v>11</v>
      </c>
      <c r="B21" s="27" t="s">
        <v>858</v>
      </c>
      <c r="C21" s="1" t="s">
        <v>792</v>
      </c>
      <c r="D21" s="1" t="s">
        <v>792</v>
      </c>
      <c r="E21" s="1" t="s">
        <v>792</v>
      </c>
      <c r="L21" s="1" t="s">
        <v>792</v>
      </c>
      <c r="M21" s="1" t="s">
        <v>792</v>
      </c>
      <c r="N21" s="1" t="s">
        <v>108</v>
      </c>
      <c r="O21" s="28" t="s">
        <v>94</v>
      </c>
      <c r="P21" s="28" t="s">
        <v>94</v>
      </c>
      <c r="Q21" s="1" t="s">
        <v>91</v>
      </c>
      <c r="R21" s="1" t="s">
        <v>47</v>
      </c>
      <c r="S21" s="1" t="s">
        <v>830</v>
      </c>
      <c r="T21" s="1" t="s">
        <v>804</v>
      </c>
      <c r="U21" s="1" t="s">
        <v>47</v>
      </c>
      <c r="V21" s="1" t="s">
        <v>47</v>
      </c>
      <c r="W21" s="1" t="s">
        <v>792</v>
      </c>
      <c r="X21" s="1" t="s">
        <v>792</v>
      </c>
      <c r="Y21" s="1" t="s">
        <v>107</v>
      </c>
      <c r="Z21" s="1" t="s">
        <v>792</v>
      </c>
      <c r="AA21" s="1" t="s">
        <v>792</v>
      </c>
      <c r="AB21" s="1" t="s">
        <v>792</v>
      </c>
      <c r="AC21" s="1" t="s">
        <v>805</v>
      </c>
      <c r="AD21" s="1" t="s">
        <v>792</v>
      </c>
      <c r="AE21" s="1" t="s">
        <v>792</v>
      </c>
    </row>
    <row r="22" spans="1:31" s="1" customFormat="1" ht="105" x14ac:dyDescent="0.25">
      <c r="A22" s="1">
        <v>12</v>
      </c>
      <c r="B22" s="27" t="s">
        <v>858</v>
      </c>
      <c r="C22" s="1" t="s">
        <v>792</v>
      </c>
      <c r="D22" s="1" t="s">
        <v>792</v>
      </c>
      <c r="E22" s="1" t="s">
        <v>792</v>
      </c>
      <c r="L22" s="1" t="s">
        <v>792</v>
      </c>
      <c r="M22" s="1" t="s">
        <v>792</v>
      </c>
      <c r="N22" s="1" t="s">
        <v>792</v>
      </c>
      <c r="O22" s="28" t="s">
        <v>96</v>
      </c>
      <c r="P22" s="28" t="s">
        <v>96</v>
      </c>
      <c r="Q22" s="1" t="s">
        <v>97</v>
      </c>
      <c r="R22" s="1" t="s">
        <v>47</v>
      </c>
      <c r="S22" s="1" t="s">
        <v>820</v>
      </c>
      <c r="T22" s="1" t="s">
        <v>806</v>
      </c>
      <c r="U22" s="1" t="s">
        <v>47</v>
      </c>
      <c r="V22" s="1" t="s">
        <v>47</v>
      </c>
      <c r="W22" s="1" t="s">
        <v>792</v>
      </c>
      <c r="X22" s="1" t="s">
        <v>792</v>
      </c>
      <c r="Y22" s="1" t="s">
        <v>107</v>
      </c>
      <c r="Z22" s="1" t="s">
        <v>792</v>
      </c>
      <c r="AA22" s="1" t="s">
        <v>792</v>
      </c>
      <c r="AB22" s="1" t="s">
        <v>792</v>
      </c>
      <c r="AC22" s="1" t="s">
        <v>792</v>
      </c>
      <c r="AD22" s="1" t="s">
        <v>792</v>
      </c>
      <c r="AE22" s="1" t="s">
        <v>792</v>
      </c>
    </row>
    <row r="23" spans="1:31" s="1" customFormat="1" x14ac:dyDescent="0.25">
      <c r="A23" s="1">
        <v>13</v>
      </c>
      <c r="B23" s="27" t="s">
        <v>858</v>
      </c>
      <c r="C23" s="1" t="s">
        <v>792</v>
      </c>
      <c r="D23" s="1" t="s">
        <v>792</v>
      </c>
      <c r="E23" s="1" t="s">
        <v>792</v>
      </c>
      <c r="L23" s="1" t="s">
        <v>792</v>
      </c>
      <c r="M23" s="1" t="s">
        <v>792</v>
      </c>
      <c r="N23" s="1" t="s">
        <v>792</v>
      </c>
      <c r="O23" s="28" t="s">
        <v>99</v>
      </c>
      <c r="P23" s="28" t="s">
        <v>99</v>
      </c>
      <c r="Q23" s="1" t="s">
        <v>91</v>
      </c>
      <c r="R23" s="1" t="s">
        <v>47</v>
      </c>
      <c r="S23" s="1" t="s">
        <v>792</v>
      </c>
      <c r="T23" s="1" t="s">
        <v>792</v>
      </c>
      <c r="U23" s="1" t="s">
        <v>47</v>
      </c>
      <c r="V23" s="1" t="s">
        <v>47</v>
      </c>
      <c r="W23" s="1" t="s">
        <v>792</v>
      </c>
      <c r="X23" s="1" t="s">
        <v>792</v>
      </c>
      <c r="Y23" s="1" t="s">
        <v>392</v>
      </c>
      <c r="Z23" s="1" t="s">
        <v>47</v>
      </c>
      <c r="AA23" s="1" t="s">
        <v>47</v>
      </c>
      <c r="AB23" s="1" t="s">
        <v>792</v>
      </c>
      <c r="AC23" s="1" t="s">
        <v>792</v>
      </c>
      <c r="AD23" s="1" t="s">
        <v>792</v>
      </c>
      <c r="AE23" s="1" t="s">
        <v>792</v>
      </c>
    </row>
    <row r="24" spans="1:31" s="1" customFormat="1" x14ac:dyDescent="0.25">
      <c r="A24" s="1">
        <v>14</v>
      </c>
      <c r="B24" s="27" t="s">
        <v>858</v>
      </c>
      <c r="C24" s="1" t="s">
        <v>792</v>
      </c>
      <c r="D24" s="1" t="s">
        <v>792</v>
      </c>
      <c r="E24" s="1" t="s">
        <v>792</v>
      </c>
      <c r="L24" s="1" t="s">
        <v>792</v>
      </c>
      <c r="M24" s="1" t="s">
        <v>792</v>
      </c>
      <c r="N24" s="1" t="s">
        <v>792</v>
      </c>
      <c r="O24" s="28" t="s">
        <v>847</v>
      </c>
      <c r="P24" s="28" t="s">
        <v>847</v>
      </c>
      <c r="Q24" s="1" t="s">
        <v>91</v>
      </c>
      <c r="R24" s="1" t="s">
        <v>47</v>
      </c>
      <c r="S24" s="1" t="s">
        <v>792</v>
      </c>
      <c r="T24" s="1" t="s">
        <v>792</v>
      </c>
      <c r="U24" s="1" t="s">
        <v>47</v>
      </c>
      <c r="V24" s="1" t="s">
        <v>47</v>
      </c>
      <c r="W24" s="1" t="s">
        <v>792</v>
      </c>
      <c r="X24" s="1" t="s">
        <v>792</v>
      </c>
      <c r="Y24" s="1" t="s">
        <v>792</v>
      </c>
      <c r="Z24" s="1" t="s">
        <v>47</v>
      </c>
      <c r="AA24" s="1" t="s">
        <v>47</v>
      </c>
      <c r="AB24" s="1" t="s">
        <v>792</v>
      </c>
      <c r="AC24" s="1" t="s">
        <v>792</v>
      </c>
      <c r="AD24" s="1" t="s">
        <v>792</v>
      </c>
      <c r="AE24" s="1" t="s">
        <v>792</v>
      </c>
    </row>
    <row r="25" spans="1:31" s="1" customFormat="1" ht="120" x14ac:dyDescent="0.25">
      <c r="A25" s="1">
        <v>15</v>
      </c>
      <c r="B25" s="27" t="s">
        <v>858</v>
      </c>
      <c r="C25" s="1" t="s">
        <v>792</v>
      </c>
      <c r="D25" s="1" t="s">
        <v>792</v>
      </c>
      <c r="E25" s="1" t="s">
        <v>792</v>
      </c>
      <c r="L25" s="1" t="s">
        <v>792</v>
      </c>
      <c r="M25" s="1" t="s">
        <v>792</v>
      </c>
      <c r="N25" s="1" t="s">
        <v>792</v>
      </c>
      <c r="O25" s="28" t="s">
        <v>109</v>
      </c>
      <c r="P25" s="28" t="s">
        <v>109</v>
      </c>
      <c r="Q25" s="1" t="s">
        <v>91</v>
      </c>
      <c r="R25" s="1" t="s">
        <v>47</v>
      </c>
      <c r="S25" s="1" t="s">
        <v>821</v>
      </c>
      <c r="T25" s="1" t="s">
        <v>807</v>
      </c>
      <c r="U25" s="1" t="s">
        <v>90</v>
      </c>
      <c r="V25" s="1" t="s">
        <v>47</v>
      </c>
      <c r="W25" s="1" t="s">
        <v>792</v>
      </c>
      <c r="X25" s="1" t="s">
        <v>792</v>
      </c>
      <c r="Y25" s="1" t="s">
        <v>792</v>
      </c>
      <c r="Z25" s="1" t="s">
        <v>792</v>
      </c>
      <c r="AA25" s="1" t="s">
        <v>792</v>
      </c>
      <c r="AB25" s="1" t="s">
        <v>792</v>
      </c>
      <c r="AC25" s="1" t="s">
        <v>792</v>
      </c>
      <c r="AD25" s="1" t="s">
        <v>792</v>
      </c>
      <c r="AE25" s="1" t="s">
        <v>792</v>
      </c>
    </row>
    <row r="26" spans="1:31" s="1" customFormat="1" x14ac:dyDescent="0.25">
      <c r="A26" s="18" t="s">
        <v>111</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row>
    <row r="27" spans="1:31" s="11" customFormat="1" ht="60" x14ac:dyDescent="0.25">
      <c r="A27" s="2" t="s">
        <v>57</v>
      </c>
      <c r="B27" s="2" t="s">
        <v>58</v>
      </c>
      <c r="C27" s="2" t="s">
        <v>59</v>
      </c>
      <c r="D27" s="2" t="s">
        <v>60</v>
      </c>
      <c r="E27" s="2" t="s">
        <v>61</v>
      </c>
      <c r="F27" s="2" t="s">
        <v>62</v>
      </c>
      <c r="G27" s="2" t="s">
        <v>63</v>
      </c>
      <c r="H27" s="2" t="s">
        <v>64</v>
      </c>
      <c r="I27" s="2" t="s">
        <v>65</v>
      </c>
      <c r="J27" s="2" t="s">
        <v>66</v>
      </c>
      <c r="K27" s="2" t="s">
        <v>67</v>
      </c>
      <c r="L27" s="2" t="s">
        <v>68</v>
      </c>
      <c r="M27" s="2" t="s">
        <v>69</v>
      </c>
      <c r="N27" s="2" t="s">
        <v>70</v>
      </c>
      <c r="O27" s="2" t="s">
        <v>71</v>
      </c>
      <c r="P27" s="2" t="s">
        <v>72</v>
      </c>
      <c r="Q27" s="2" t="s">
        <v>73</v>
      </c>
      <c r="R27" s="2" t="s">
        <v>74</v>
      </c>
      <c r="S27" s="2" t="s">
        <v>75</v>
      </c>
      <c r="T27" s="2" t="s">
        <v>76</v>
      </c>
      <c r="U27" s="2" t="s">
        <v>795</v>
      </c>
      <c r="V27" s="2" t="s">
        <v>796</v>
      </c>
      <c r="W27" s="2" t="s">
        <v>797</v>
      </c>
      <c r="X27" s="2" t="s">
        <v>80</v>
      </c>
      <c r="Y27" s="2" t="s">
        <v>81</v>
      </c>
      <c r="Z27" s="2" t="s">
        <v>82</v>
      </c>
      <c r="AA27" s="2" t="s">
        <v>83</v>
      </c>
      <c r="AB27" s="2" t="s">
        <v>84</v>
      </c>
      <c r="AC27" s="2" t="s">
        <v>85</v>
      </c>
      <c r="AD27" s="2" t="s">
        <v>86</v>
      </c>
      <c r="AE27" s="2" t="s">
        <v>87</v>
      </c>
    </row>
    <row r="28" spans="1:31" s="11" customFormat="1" ht="45" x14ac:dyDescent="0.25">
      <c r="A28" s="11">
        <v>1</v>
      </c>
      <c r="B28" s="11" t="s">
        <v>860</v>
      </c>
      <c r="C28" s="11" t="s">
        <v>792</v>
      </c>
      <c r="D28" s="11" t="s">
        <v>792</v>
      </c>
      <c r="E28" s="11" t="s">
        <v>792</v>
      </c>
      <c r="F28" s="11" t="s">
        <v>792</v>
      </c>
      <c r="G28" s="11" t="s">
        <v>792</v>
      </c>
      <c r="H28" s="11" t="s">
        <v>792</v>
      </c>
      <c r="I28" s="11" t="s">
        <v>792</v>
      </c>
      <c r="J28" s="11" t="s">
        <v>792</v>
      </c>
      <c r="K28" s="11" t="s">
        <v>792</v>
      </c>
      <c r="L28" s="11" t="s">
        <v>792</v>
      </c>
      <c r="M28" s="11" t="s">
        <v>792</v>
      </c>
      <c r="N28" s="11" t="s">
        <v>792</v>
      </c>
      <c r="O28" s="11" t="s">
        <v>113</v>
      </c>
      <c r="P28" s="11" t="s">
        <v>113</v>
      </c>
      <c r="Q28" s="11" t="s">
        <v>97</v>
      </c>
      <c r="R28" s="11" t="s">
        <v>90</v>
      </c>
      <c r="S28" s="11" t="s">
        <v>831</v>
      </c>
      <c r="T28" s="11" t="s">
        <v>114</v>
      </c>
      <c r="U28" s="11" t="s">
        <v>47</v>
      </c>
      <c r="V28" s="11" t="s">
        <v>47</v>
      </c>
      <c r="W28" s="11">
        <v>-1</v>
      </c>
      <c r="X28" s="11">
        <v>-1</v>
      </c>
      <c r="Y28" s="11" t="s">
        <v>792</v>
      </c>
      <c r="Z28" s="11" t="s">
        <v>792</v>
      </c>
      <c r="AA28" s="11" t="s">
        <v>792</v>
      </c>
      <c r="AB28" s="11" t="s">
        <v>792</v>
      </c>
      <c r="AC28" s="11" t="s">
        <v>792</v>
      </c>
      <c r="AD28" s="11" t="s">
        <v>792</v>
      </c>
      <c r="AE28" s="11" t="s">
        <v>90</v>
      </c>
    </row>
    <row r="29" spans="1:31" s="11" customFormat="1" ht="60" x14ac:dyDescent="0.25">
      <c r="A29" s="11">
        <v>2</v>
      </c>
      <c r="B29" s="11" t="s">
        <v>860</v>
      </c>
      <c r="C29" s="11" t="s">
        <v>792</v>
      </c>
      <c r="D29" s="11" t="s">
        <v>792</v>
      </c>
      <c r="E29" s="11" t="s">
        <v>792</v>
      </c>
      <c r="F29" s="11" t="s">
        <v>792</v>
      </c>
      <c r="G29" s="11" t="s">
        <v>792</v>
      </c>
      <c r="H29" s="11" t="s">
        <v>792</v>
      </c>
      <c r="I29" s="11" t="s">
        <v>792</v>
      </c>
      <c r="J29" s="11" t="s">
        <v>792</v>
      </c>
      <c r="K29" s="11" t="s">
        <v>792</v>
      </c>
      <c r="L29" s="11" t="s">
        <v>792</v>
      </c>
      <c r="M29" s="11" t="s">
        <v>792</v>
      </c>
      <c r="N29" s="11" t="s">
        <v>792</v>
      </c>
      <c r="O29" s="11" t="s">
        <v>115</v>
      </c>
      <c r="P29" s="11" t="s">
        <v>115</v>
      </c>
      <c r="Q29" s="11" t="s">
        <v>91</v>
      </c>
      <c r="R29" s="11" t="s">
        <v>90</v>
      </c>
      <c r="S29" s="11" t="s">
        <v>832</v>
      </c>
      <c r="T29" s="11" t="s">
        <v>116</v>
      </c>
      <c r="U29" s="11" t="s">
        <v>47</v>
      </c>
      <c r="V29" s="11" t="s">
        <v>47</v>
      </c>
      <c r="W29" s="11">
        <v>-1</v>
      </c>
      <c r="X29" s="11">
        <v>-1</v>
      </c>
      <c r="Y29" s="11" t="s">
        <v>792</v>
      </c>
      <c r="Z29" s="11" t="s">
        <v>792</v>
      </c>
      <c r="AA29" s="11" t="s">
        <v>792</v>
      </c>
      <c r="AB29" s="11" t="s">
        <v>792</v>
      </c>
      <c r="AC29" s="11" t="s">
        <v>792</v>
      </c>
      <c r="AD29" s="11" t="s">
        <v>792</v>
      </c>
      <c r="AE29" s="11" t="s">
        <v>90</v>
      </c>
    </row>
    <row r="30" spans="1:31" s="11" customFormat="1" ht="45" x14ac:dyDescent="0.25">
      <c r="A30" s="11">
        <v>3</v>
      </c>
      <c r="B30" s="11" t="s">
        <v>860</v>
      </c>
      <c r="C30" s="11" t="s">
        <v>792</v>
      </c>
      <c r="D30" s="11" t="s">
        <v>792</v>
      </c>
      <c r="E30" s="11" t="s">
        <v>792</v>
      </c>
      <c r="F30" s="11" t="s">
        <v>792</v>
      </c>
      <c r="G30" s="11" t="s">
        <v>792</v>
      </c>
      <c r="H30" s="11" t="s">
        <v>792</v>
      </c>
      <c r="I30" s="11" t="s">
        <v>792</v>
      </c>
      <c r="J30" s="11" t="s">
        <v>792</v>
      </c>
      <c r="K30" s="11" t="s">
        <v>792</v>
      </c>
      <c r="L30" s="11" t="s">
        <v>792</v>
      </c>
      <c r="M30" s="11" t="s">
        <v>792</v>
      </c>
      <c r="N30" s="11" t="s">
        <v>792</v>
      </c>
      <c r="O30" s="11" t="s">
        <v>117</v>
      </c>
      <c r="P30" s="11" t="s">
        <v>117</v>
      </c>
      <c r="Q30" s="11" t="s">
        <v>91</v>
      </c>
      <c r="R30" s="11" t="s">
        <v>90</v>
      </c>
      <c r="S30" s="11" t="s">
        <v>833</v>
      </c>
      <c r="T30" s="11" t="s">
        <v>808</v>
      </c>
      <c r="U30" s="11" t="s">
        <v>47</v>
      </c>
      <c r="V30" s="11" t="s">
        <v>47</v>
      </c>
      <c r="W30" s="11">
        <v>-1</v>
      </c>
      <c r="X30" s="11">
        <v>-1</v>
      </c>
      <c r="Y30" s="11" t="s">
        <v>792</v>
      </c>
      <c r="Z30" s="11" t="s">
        <v>792</v>
      </c>
      <c r="AA30" s="11" t="s">
        <v>792</v>
      </c>
      <c r="AB30" s="11" t="s">
        <v>792</v>
      </c>
      <c r="AC30" s="11" t="s">
        <v>792</v>
      </c>
      <c r="AD30" s="11" t="s">
        <v>792</v>
      </c>
      <c r="AE30" s="11" t="s">
        <v>90</v>
      </c>
    </row>
    <row r="31" spans="1:31" s="11" customFormat="1" ht="30" x14ac:dyDescent="0.25">
      <c r="A31" s="11">
        <v>4</v>
      </c>
      <c r="B31" s="11" t="s">
        <v>860</v>
      </c>
      <c r="C31" s="11" t="s">
        <v>792</v>
      </c>
      <c r="D31" s="11" t="s">
        <v>792</v>
      </c>
      <c r="E31" s="11" t="s">
        <v>792</v>
      </c>
      <c r="F31" s="11" t="s">
        <v>792</v>
      </c>
      <c r="G31" s="11" t="s">
        <v>792</v>
      </c>
      <c r="H31" s="11" t="s">
        <v>792</v>
      </c>
      <c r="I31" s="11" t="s">
        <v>792</v>
      </c>
      <c r="J31" s="11" t="s">
        <v>792</v>
      </c>
      <c r="K31" s="11" t="s">
        <v>792</v>
      </c>
      <c r="L31" s="11" t="s">
        <v>792</v>
      </c>
      <c r="M31" s="11" t="s">
        <v>792</v>
      </c>
      <c r="N31" s="11" t="s">
        <v>792</v>
      </c>
      <c r="O31" s="11" t="s">
        <v>119</v>
      </c>
      <c r="P31" s="11" t="s">
        <v>119</v>
      </c>
      <c r="Q31" s="11" t="s">
        <v>120</v>
      </c>
      <c r="R31" s="11" t="s">
        <v>90</v>
      </c>
      <c r="S31" s="11" t="s">
        <v>834</v>
      </c>
      <c r="T31" s="11" t="s">
        <v>121</v>
      </c>
      <c r="U31" s="11" t="s">
        <v>47</v>
      </c>
      <c r="V31" s="11" t="s">
        <v>47</v>
      </c>
      <c r="W31" s="11">
        <v>-1</v>
      </c>
      <c r="X31" s="11">
        <v>-1</v>
      </c>
      <c r="Y31" s="11" t="s">
        <v>792</v>
      </c>
      <c r="Z31" s="11" t="s">
        <v>792</v>
      </c>
      <c r="AA31" s="11" t="s">
        <v>792</v>
      </c>
      <c r="AB31" s="11" t="s">
        <v>792</v>
      </c>
      <c r="AC31" s="11" t="s">
        <v>792</v>
      </c>
      <c r="AD31" s="11" t="s">
        <v>792</v>
      </c>
      <c r="AE31" s="11" t="s">
        <v>90</v>
      </c>
    </row>
    <row r="32" spans="1:31" s="1" customFormat="1" x14ac:dyDescent="0.25">
      <c r="B32" s="1" t="s">
        <v>792</v>
      </c>
      <c r="C32" s="1" t="s">
        <v>792</v>
      </c>
      <c r="D32" s="1" t="s">
        <v>792</v>
      </c>
      <c r="E32" s="1" t="s">
        <v>792</v>
      </c>
      <c r="F32" s="1" t="s">
        <v>792</v>
      </c>
      <c r="G32" s="1" t="s">
        <v>792</v>
      </c>
      <c r="H32" s="1" t="s">
        <v>792</v>
      </c>
      <c r="I32" s="1" t="s">
        <v>792</v>
      </c>
      <c r="J32" s="1" t="s">
        <v>792</v>
      </c>
      <c r="K32" s="1" t="s">
        <v>792</v>
      </c>
      <c r="L32" s="1" t="s">
        <v>792</v>
      </c>
      <c r="M32" s="1" t="s">
        <v>792</v>
      </c>
      <c r="N32" s="1" t="s">
        <v>792</v>
      </c>
      <c r="O32" s="1" t="s">
        <v>792</v>
      </c>
      <c r="P32" s="1" t="s">
        <v>792</v>
      </c>
      <c r="Q32" s="1" t="s">
        <v>792</v>
      </c>
      <c r="R32" s="1" t="s">
        <v>792</v>
      </c>
      <c r="S32" s="1" t="s">
        <v>792</v>
      </c>
      <c r="T32" s="1" t="s">
        <v>792</v>
      </c>
      <c r="U32" s="1" t="s">
        <v>792</v>
      </c>
      <c r="V32" s="1" t="s">
        <v>792</v>
      </c>
      <c r="W32" s="1" t="s">
        <v>792</v>
      </c>
      <c r="X32" s="1" t="s">
        <v>792</v>
      </c>
      <c r="Y32" s="1" t="s">
        <v>792</v>
      </c>
      <c r="Z32" s="1" t="s">
        <v>792</v>
      </c>
      <c r="AA32" s="1" t="s">
        <v>792</v>
      </c>
      <c r="AB32" s="1" t="s">
        <v>792</v>
      </c>
      <c r="AC32" s="1" t="s">
        <v>792</v>
      </c>
      <c r="AD32" s="1" t="s">
        <v>792</v>
      </c>
      <c r="AE32" s="1" t="s">
        <v>792</v>
      </c>
    </row>
  </sheetData>
  <mergeCells count="3">
    <mergeCell ref="A3:AE3"/>
    <mergeCell ref="A10:AE10"/>
    <mergeCell ref="A26:AE26"/>
  </mergeCell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zoomScaleNormal="100" workbookViewId="0">
      <selection sqref="A1:N1"/>
    </sheetView>
  </sheetViews>
  <sheetFormatPr defaultRowHeight="0" customHeight="1" zeroHeight="1" x14ac:dyDescent="0.25"/>
  <sheetData>
    <row r="1" spans="1:14" ht="15" x14ac:dyDescent="0.25">
      <c r="A1" s="20" t="s">
        <v>300</v>
      </c>
      <c r="B1" s="20"/>
      <c r="C1" s="20"/>
      <c r="D1" s="20"/>
      <c r="E1" s="20"/>
      <c r="F1" s="20"/>
      <c r="G1" s="20"/>
      <c r="H1" s="20"/>
      <c r="I1" s="20"/>
      <c r="J1" s="20"/>
      <c r="K1" s="20"/>
      <c r="L1" s="20"/>
      <c r="M1" s="20"/>
      <c r="N1" s="20"/>
    </row>
    <row r="2" spans="1:14" ht="15" x14ac:dyDescent="0.25">
      <c r="A2" s="20" t="s">
        <v>45</v>
      </c>
      <c r="B2" s="20"/>
      <c r="C2" s="20"/>
      <c r="D2" s="20"/>
      <c r="E2" s="20"/>
      <c r="F2" s="20"/>
      <c r="G2" s="20"/>
      <c r="H2" s="20"/>
      <c r="I2" s="20"/>
      <c r="J2" s="20"/>
      <c r="K2" s="20"/>
      <c r="L2" s="20"/>
      <c r="M2" s="20"/>
      <c r="N2" s="20"/>
    </row>
    <row r="3" spans="1:14" ht="15" x14ac:dyDescent="0.25">
      <c r="A3" s="20" t="s">
        <v>301</v>
      </c>
      <c r="B3" s="20"/>
      <c r="C3" s="20"/>
      <c r="D3" s="20"/>
      <c r="E3" s="20"/>
      <c r="F3" s="20"/>
      <c r="G3" s="20"/>
      <c r="H3" s="20"/>
      <c r="I3" s="20"/>
      <c r="J3" s="20"/>
      <c r="K3" s="20"/>
      <c r="L3" s="20"/>
      <c r="M3" s="20"/>
      <c r="N3" s="20"/>
    </row>
    <row r="4" spans="1:14" ht="15" x14ac:dyDescent="0.25">
      <c r="A4" s="20" t="s">
        <v>302</v>
      </c>
      <c r="B4" s="20"/>
      <c r="C4" s="20"/>
      <c r="D4" s="20"/>
      <c r="E4" s="20"/>
      <c r="F4" s="20"/>
      <c r="G4" s="20"/>
      <c r="H4" s="20"/>
      <c r="I4" s="20"/>
      <c r="J4" s="20"/>
      <c r="K4" s="20"/>
      <c r="L4" s="20"/>
      <c r="M4" s="20"/>
      <c r="N4" s="20"/>
    </row>
    <row r="5" spans="1:14" ht="15" x14ac:dyDescent="0.25">
      <c r="A5" s="20" t="s">
        <v>56</v>
      </c>
      <c r="B5" s="20"/>
      <c r="C5" s="20"/>
      <c r="D5" s="20"/>
      <c r="E5" s="20"/>
      <c r="F5" s="20"/>
      <c r="G5" s="20"/>
      <c r="H5" s="20"/>
      <c r="I5" s="20"/>
      <c r="J5" s="20"/>
      <c r="K5" s="20"/>
      <c r="L5" s="20"/>
      <c r="M5" s="20"/>
      <c r="N5" s="20"/>
    </row>
    <row r="6" spans="1:14" ht="15" x14ac:dyDescent="0.25">
      <c r="A6" t="s">
        <v>303</v>
      </c>
      <c r="B6" t="s">
        <v>304</v>
      </c>
      <c r="C6" t="s">
        <v>305</v>
      </c>
      <c r="D6" t="s">
        <v>306</v>
      </c>
      <c r="E6" t="s">
        <v>307</v>
      </c>
      <c r="F6" t="s">
        <v>308</v>
      </c>
      <c r="G6" t="s">
        <v>309</v>
      </c>
      <c r="H6" t="s">
        <v>310</v>
      </c>
      <c r="I6" t="s">
        <v>82</v>
      </c>
      <c r="J6" t="s">
        <v>83</v>
      </c>
      <c r="K6" t="s">
        <v>84</v>
      </c>
      <c r="L6" t="s">
        <v>85</v>
      </c>
      <c r="M6" t="s">
        <v>86</v>
      </c>
      <c r="N6" t="s">
        <v>311</v>
      </c>
    </row>
    <row r="7" spans="1:14" ht="15" x14ac:dyDescent="0.25">
      <c r="A7">
        <v>1</v>
      </c>
      <c r="E7" t="s">
        <v>117</v>
      </c>
      <c r="F7" t="s">
        <v>89</v>
      </c>
      <c r="G7" t="s">
        <v>90</v>
      </c>
      <c r="H7" t="s">
        <v>312</v>
      </c>
      <c r="I7" t="s">
        <v>47</v>
      </c>
      <c r="N7" t="s">
        <v>90</v>
      </c>
    </row>
    <row r="8" spans="1:14" ht="15" x14ac:dyDescent="0.25">
      <c r="A8" s="20" t="s">
        <v>111</v>
      </c>
      <c r="B8" s="20"/>
      <c r="C8" s="20"/>
      <c r="D8" s="20"/>
      <c r="E8" s="20"/>
      <c r="F8" s="20"/>
      <c r="G8" s="20"/>
      <c r="H8" s="20"/>
      <c r="I8" s="20"/>
      <c r="J8" s="20"/>
      <c r="K8" s="20"/>
      <c r="L8" s="20"/>
      <c r="M8" s="20"/>
      <c r="N8" s="20"/>
    </row>
    <row r="9" spans="1:14" ht="15" x14ac:dyDescent="0.25">
      <c r="A9" t="s">
        <v>303</v>
      </c>
      <c r="B9" t="s">
        <v>304</v>
      </c>
      <c r="C9" t="s">
        <v>305</v>
      </c>
      <c r="D9" t="s">
        <v>306</v>
      </c>
      <c r="E9" t="s">
        <v>307</v>
      </c>
      <c r="F9" t="s">
        <v>308</v>
      </c>
      <c r="G9" t="s">
        <v>309</v>
      </c>
      <c r="H9" t="s">
        <v>310</v>
      </c>
      <c r="I9" t="s">
        <v>82</v>
      </c>
      <c r="J9" t="s">
        <v>83</v>
      </c>
      <c r="K9" t="s">
        <v>84</v>
      </c>
      <c r="L9" t="s">
        <v>85</v>
      </c>
      <c r="M9" t="s">
        <v>86</v>
      </c>
      <c r="N9" t="s">
        <v>311</v>
      </c>
    </row>
    <row r="10" spans="1:14" ht="15" x14ac:dyDescent="0.25">
      <c r="A10">
        <v>1</v>
      </c>
      <c r="B10" t="s">
        <v>313</v>
      </c>
      <c r="C10" t="s">
        <v>47</v>
      </c>
      <c r="D10" t="s">
        <v>90</v>
      </c>
      <c r="E10" t="s">
        <v>113</v>
      </c>
      <c r="F10" t="s">
        <v>97</v>
      </c>
      <c r="G10" t="s">
        <v>90</v>
      </c>
      <c r="H10" t="s">
        <v>114</v>
      </c>
      <c r="I10" t="s">
        <v>47</v>
      </c>
    </row>
    <row r="11" spans="1:14" ht="15" x14ac:dyDescent="0.25">
      <c r="A11">
        <f>A10+1</f>
        <v>2</v>
      </c>
      <c r="B11" t="s">
        <v>313</v>
      </c>
      <c r="C11" t="s">
        <v>90</v>
      </c>
      <c r="E11" t="s">
        <v>115</v>
      </c>
      <c r="F11" t="s">
        <v>89</v>
      </c>
      <c r="G11" t="s">
        <v>90</v>
      </c>
      <c r="H11" t="s">
        <v>116</v>
      </c>
      <c r="I11" t="s">
        <v>90</v>
      </c>
    </row>
    <row r="12" spans="1:14" ht="15" x14ac:dyDescent="0.25">
      <c r="A12">
        <f>A11+1</f>
        <v>3</v>
      </c>
      <c r="B12" t="s">
        <v>313</v>
      </c>
      <c r="C12" t="s">
        <v>47</v>
      </c>
      <c r="E12" t="s">
        <v>119</v>
      </c>
      <c r="F12" t="s">
        <v>314</v>
      </c>
      <c r="G12" t="s">
        <v>90</v>
      </c>
      <c r="H12" t="s">
        <v>121</v>
      </c>
      <c r="N12" t="s">
        <v>47</v>
      </c>
    </row>
    <row r="13" spans="1:14" ht="15" x14ac:dyDescent="0.25">
      <c r="A13" t="s">
        <v>122</v>
      </c>
    </row>
  </sheetData>
  <mergeCells count="6">
    <mergeCell ref="A8:N8"/>
    <mergeCell ref="A1:N1"/>
    <mergeCell ref="A2:N2"/>
    <mergeCell ref="A3:N3"/>
    <mergeCell ref="A4:N4"/>
    <mergeCell ref="A5:N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8"/>
  <sheetViews>
    <sheetView workbookViewId="0">
      <selection activeCell="B15" sqref="B15"/>
    </sheetView>
  </sheetViews>
  <sheetFormatPr defaultRowHeight="15" x14ac:dyDescent="0.25"/>
  <cols>
    <col min="1" max="1" width="27.5703125" customWidth="1"/>
    <col min="2" max="2" width="40" customWidth="1"/>
    <col min="3" max="4" width="20" customWidth="1"/>
    <col min="5" max="5" width="8" customWidth="1"/>
    <col min="6" max="6" width="30" customWidth="1"/>
    <col min="7" max="7" width="20" customWidth="1"/>
    <col min="8" max="8" width="8" customWidth="1"/>
    <col min="9" max="9" width="60" customWidth="1"/>
    <col min="10" max="10" width="20" customWidth="1"/>
    <col min="11" max="11" width="8" customWidth="1"/>
    <col min="12" max="13" width="20" customWidth="1"/>
    <col min="14" max="16" width="30" customWidth="1"/>
    <col min="17" max="17" width="16" customWidth="1"/>
    <col min="18" max="18" width="10" customWidth="1"/>
    <col min="19" max="20" width="80" customWidth="1"/>
    <col min="21" max="22" width="12" customWidth="1"/>
    <col min="23" max="24" width="10" customWidth="1"/>
    <col min="25" max="25" width="20" customWidth="1"/>
    <col min="26" max="27" width="10" customWidth="1"/>
    <col min="28" max="28" width="20" customWidth="1"/>
    <col min="29" max="29" width="30" customWidth="1"/>
    <col min="30" max="30" width="20" customWidth="1"/>
    <col min="31" max="31" width="12" customWidth="1"/>
  </cols>
  <sheetData>
    <row r="1" spans="1:31" s="11" customFormat="1" x14ac:dyDescent="0.25">
      <c r="A1" s="2" t="s">
        <v>41</v>
      </c>
      <c r="B1" s="12" t="s">
        <v>42</v>
      </c>
      <c r="C1" s="12" t="s">
        <v>792</v>
      </c>
      <c r="D1" s="12" t="s">
        <v>792</v>
      </c>
      <c r="E1" s="12" t="s">
        <v>792</v>
      </c>
      <c r="F1" s="12" t="s">
        <v>792</v>
      </c>
      <c r="G1" s="12" t="s">
        <v>792</v>
      </c>
      <c r="H1" s="12" t="s">
        <v>792</v>
      </c>
      <c r="I1" s="12" t="s">
        <v>792</v>
      </c>
      <c r="J1" s="12" t="s">
        <v>792</v>
      </c>
      <c r="K1" s="12" t="s">
        <v>792</v>
      </c>
      <c r="L1" s="12" t="s">
        <v>792</v>
      </c>
      <c r="M1" s="12" t="s">
        <v>792</v>
      </c>
      <c r="N1" s="12" t="s">
        <v>792</v>
      </c>
      <c r="O1" s="12" t="s">
        <v>792</v>
      </c>
      <c r="P1" s="12" t="s">
        <v>792</v>
      </c>
      <c r="Q1" s="12" t="s">
        <v>792</v>
      </c>
      <c r="R1" s="12" t="s">
        <v>792</v>
      </c>
      <c r="S1" s="12" t="s">
        <v>792</v>
      </c>
      <c r="T1" s="12" t="s">
        <v>792</v>
      </c>
      <c r="U1" s="12" t="s">
        <v>792</v>
      </c>
      <c r="V1" s="12" t="s">
        <v>792</v>
      </c>
      <c r="W1" s="12" t="s">
        <v>792</v>
      </c>
      <c r="X1" s="12" t="s">
        <v>792</v>
      </c>
      <c r="Y1" s="12" t="s">
        <v>792</v>
      </c>
      <c r="Z1" s="12" t="s">
        <v>792</v>
      </c>
      <c r="AA1" s="12" t="s">
        <v>792</v>
      </c>
      <c r="AB1" s="12" t="s">
        <v>792</v>
      </c>
      <c r="AC1" s="12" t="s">
        <v>792</v>
      </c>
      <c r="AD1" s="12" t="s">
        <v>792</v>
      </c>
      <c r="AE1" s="12" t="s">
        <v>792</v>
      </c>
    </row>
    <row r="2" spans="1:31" s="11" customFormat="1" x14ac:dyDescent="0.25">
      <c r="A2" s="13" t="s">
        <v>43</v>
      </c>
      <c r="B2" s="14" t="s">
        <v>44</v>
      </c>
      <c r="C2" s="14" t="s">
        <v>792</v>
      </c>
      <c r="D2" s="14" t="s">
        <v>792</v>
      </c>
      <c r="E2" s="14" t="s">
        <v>792</v>
      </c>
      <c r="F2" s="14" t="s">
        <v>792</v>
      </c>
      <c r="G2" s="14" t="s">
        <v>792</v>
      </c>
      <c r="H2" s="14" t="s">
        <v>792</v>
      </c>
      <c r="I2" s="14" t="s">
        <v>792</v>
      </c>
      <c r="J2" s="14" t="s">
        <v>792</v>
      </c>
      <c r="K2" s="14" t="s">
        <v>792</v>
      </c>
      <c r="L2" s="14" t="s">
        <v>792</v>
      </c>
      <c r="M2" s="14" t="s">
        <v>792</v>
      </c>
      <c r="N2" s="14" t="s">
        <v>792</v>
      </c>
      <c r="O2" s="14" t="s">
        <v>792</v>
      </c>
      <c r="P2" s="14" t="s">
        <v>792</v>
      </c>
      <c r="Q2" s="14" t="s">
        <v>792</v>
      </c>
      <c r="R2" s="14" t="s">
        <v>792</v>
      </c>
      <c r="S2" s="14" t="s">
        <v>792</v>
      </c>
      <c r="T2" s="14" t="s">
        <v>792</v>
      </c>
      <c r="U2" s="14" t="s">
        <v>792</v>
      </c>
      <c r="V2" s="14" t="s">
        <v>792</v>
      </c>
      <c r="W2" s="14" t="s">
        <v>792</v>
      </c>
      <c r="X2" s="14" t="s">
        <v>792</v>
      </c>
      <c r="Y2" s="14" t="s">
        <v>792</v>
      </c>
      <c r="Z2" s="14" t="s">
        <v>792</v>
      </c>
      <c r="AA2" s="14" t="s">
        <v>792</v>
      </c>
      <c r="AB2" s="14" t="s">
        <v>792</v>
      </c>
      <c r="AC2" s="14" t="s">
        <v>792</v>
      </c>
      <c r="AD2" s="14" t="s">
        <v>792</v>
      </c>
      <c r="AE2" s="14" t="s">
        <v>792</v>
      </c>
    </row>
    <row r="3" spans="1:31" s="11" customFormat="1" x14ac:dyDescent="0.25">
      <c r="A3" s="17" t="s">
        <v>45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s="11" customFormat="1" x14ac:dyDescent="0.25">
      <c r="A4" s="15" t="s">
        <v>46</v>
      </c>
      <c r="B4" s="16" t="s">
        <v>47</v>
      </c>
      <c r="C4" s="16" t="s">
        <v>792</v>
      </c>
      <c r="D4" s="16" t="s">
        <v>792</v>
      </c>
      <c r="E4" s="16" t="s">
        <v>792</v>
      </c>
      <c r="F4" s="16" t="s">
        <v>792</v>
      </c>
      <c r="G4" s="16" t="s">
        <v>792</v>
      </c>
      <c r="H4" s="16" t="s">
        <v>792</v>
      </c>
      <c r="I4" s="16" t="s">
        <v>792</v>
      </c>
      <c r="J4" s="16" t="s">
        <v>792</v>
      </c>
      <c r="K4" s="16" t="s">
        <v>792</v>
      </c>
      <c r="L4" s="16" t="s">
        <v>792</v>
      </c>
      <c r="M4" s="16" t="s">
        <v>792</v>
      </c>
      <c r="N4" s="16" t="s">
        <v>792</v>
      </c>
      <c r="O4" s="16" t="s">
        <v>792</v>
      </c>
      <c r="P4" s="16" t="s">
        <v>792</v>
      </c>
      <c r="Q4" s="16" t="s">
        <v>792</v>
      </c>
      <c r="R4" s="16" t="s">
        <v>792</v>
      </c>
      <c r="S4" s="16" t="s">
        <v>792</v>
      </c>
      <c r="T4" s="16" t="s">
        <v>792</v>
      </c>
      <c r="U4" s="16" t="s">
        <v>792</v>
      </c>
      <c r="V4" s="16" t="s">
        <v>792</v>
      </c>
      <c r="W4" s="16" t="s">
        <v>792</v>
      </c>
      <c r="X4" s="16" t="s">
        <v>792</v>
      </c>
      <c r="Y4" s="16" t="s">
        <v>792</v>
      </c>
      <c r="Z4" s="16" t="s">
        <v>792</v>
      </c>
      <c r="AA4" s="16" t="s">
        <v>792</v>
      </c>
      <c r="AB4" s="16" t="s">
        <v>792</v>
      </c>
      <c r="AC4" s="16" t="s">
        <v>792</v>
      </c>
      <c r="AD4" s="16" t="s">
        <v>792</v>
      </c>
      <c r="AE4" s="16" t="s">
        <v>792</v>
      </c>
    </row>
    <row r="5" spans="1:31" s="11" customFormat="1" ht="30" x14ac:dyDescent="0.25">
      <c r="A5" s="15" t="s">
        <v>48</v>
      </c>
      <c r="B5" s="16" t="s">
        <v>49</v>
      </c>
      <c r="C5" s="16" t="s">
        <v>792</v>
      </c>
      <c r="D5" s="16" t="s">
        <v>792</v>
      </c>
      <c r="E5" s="16" t="s">
        <v>792</v>
      </c>
      <c r="F5" s="16" t="s">
        <v>792</v>
      </c>
      <c r="G5" s="16" t="s">
        <v>792</v>
      </c>
      <c r="H5" s="16" t="s">
        <v>792</v>
      </c>
      <c r="I5" s="16" t="s">
        <v>792</v>
      </c>
      <c r="J5" s="16" t="s">
        <v>792</v>
      </c>
      <c r="K5" s="16" t="s">
        <v>792</v>
      </c>
      <c r="L5" s="16" t="s">
        <v>792</v>
      </c>
      <c r="M5" s="16" t="s">
        <v>792</v>
      </c>
      <c r="N5" s="16" t="s">
        <v>792</v>
      </c>
      <c r="O5" s="16" t="s">
        <v>792</v>
      </c>
      <c r="P5" s="16" t="s">
        <v>792</v>
      </c>
      <c r="Q5" s="16" t="s">
        <v>792</v>
      </c>
      <c r="R5" s="16" t="s">
        <v>792</v>
      </c>
      <c r="S5" s="16" t="s">
        <v>792</v>
      </c>
      <c r="T5" s="16" t="s">
        <v>792</v>
      </c>
      <c r="U5" s="16" t="s">
        <v>792</v>
      </c>
      <c r="V5" s="16" t="s">
        <v>792</v>
      </c>
      <c r="W5" s="16" t="s">
        <v>792</v>
      </c>
      <c r="X5" s="16" t="s">
        <v>792</v>
      </c>
      <c r="Y5" s="16" t="s">
        <v>792</v>
      </c>
      <c r="Z5" s="16" t="s">
        <v>792</v>
      </c>
      <c r="AA5" s="16" t="s">
        <v>792</v>
      </c>
      <c r="AB5" s="16" t="s">
        <v>792</v>
      </c>
      <c r="AC5" s="16" t="s">
        <v>792</v>
      </c>
      <c r="AD5" s="16" t="s">
        <v>792</v>
      </c>
      <c r="AE5" s="16" t="s">
        <v>792</v>
      </c>
    </row>
    <row r="6" spans="1:31" s="11" customFormat="1" ht="45" x14ac:dyDescent="0.25">
      <c r="A6" s="15" t="s">
        <v>50</v>
      </c>
      <c r="B6" s="16" t="s">
        <v>792</v>
      </c>
      <c r="C6" s="16" t="s">
        <v>792</v>
      </c>
      <c r="D6" s="16" t="s">
        <v>792</v>
      </c>
      <c r="E6" s="16" t="s">
        <v>792</v>
      </c>
      <c r="F6" s="16" t="s">
        <v>792</v>
      </c>
      <c r="G6" s="16" t="s">
        <v>792</v>
      </c>
      <c r="H6" s="16" t="s">
        <v>792</v>
      </c>
      <c r="I6" s="16" t="s">
        <v>792</v>
      </c>
      <c r="J6" s="16" t="s">
        <v>792</v>
      </c>
      <c r="K6" s="16" t="s">
        <v>792</v>
      </c>
      <c r="L6" s="16" t="s">
        <v>792</v>
      </c>
      <c r="M6" s="16" t="s">
        <v>792</v>
      </c>
      <c r="N6" s="16" t="s">
        <v>792</v>
      </c>
      <c r="O6" s="16" t="s">
        <v>792</v>
      </c>
      <c r="P6" s="16" t="s">
        <v>792</v>
      </c>
      <c r="Q6" s="16" t="s">
        <v>792</v>
      </c>
      <c r="R6" s="16" t="s">
        <v>792</v>
      </c>
      <c r="S6" s="16" t="s">
        <v>792</v>
      </c>
      <c r="T6" s="16" t="s">
        <v>792</v>
      </c>
      <c r="U6" s="16" t="s">
        <v>792</v>
      </c>
      <c r="V6" s="16" t="s">
        <v>792</v>
      </c>
      <c r="W6" s="16" t="s">
        <v>792</v>
      </c>
      <c r="X6" s="16" t="s">
        <v>792</v>
      </c>
      <c r="Y6" s="16" t="s">
        <v>792</v>
      </c>
      <c r="Z6" s="16" t="s">
        <v>792</v>
      </c>
      <c r="AA6" s="16" t="s">
        <v>792</v>
      </c>
      <c r="AB6" s="16" t="s">
        <v>792</v>
      </c>
      <c r="AC6" s="16" t="s">
        <v>792</v>
      </c>
      <c r="AD6" s="16" t="s">
        <v>792</v>
      </c>
      <c r="AE6" s="16" t="s">
        <v>792</v>
      </c>
    </row>
    <row r="7" spans="1:31" s="11" customFormat="1" x14ac:dyDescent="0.25">
      <c r="A7" s="15" t="s">
        <v>51</v>
      </c>
      <c r="B7" s="16" t="s">
        <v>861</v>
      </c>
      <c r="C7" s="16" t="s">
        <v>792</v>
      </c>
      <c r="D7" s="16" t="s">
        <v>792</v>
      </c>
      <c r="E7" s="16" t="s">
        <v>792</v>
      </c>
      <c r="F7" s="16" t="s">
        <v>792</v>
      </c>
      <c r="G7" s="16" t="s">
        <v>792</v>
      </c>
      <c r="H7" s="16" t="s">
        <v>792</v>
      </c>
      <c r="I7" s="16" t="s">
        <v>792</v>
      </c>
      <c r="J7" s="16" t="s">
        <v>792</v>
      </c>
      <c r="K7" s="16" t="s">
        <v>792</v>
      </c>
      <c r="L7" s="16" t="s">
        <v>792</v>
      </c>
      <c r="M7" s="16" t="s">
        <v>792</v>
      </c>
      <c r="N7" s="16" t="s">
        <v>792</v>
      </c>
      <c r="O7" s="16" t="s">
        <v>792</v>
      </c>
      <c r="P7" s="16" t="s">
        <v>792</v>
      </c>
      <c r="Q7" s="16" t="s">
        <v>792</v>
      </c>
      <c r="R7" s="16" t="s">
        <v>792</v>
      </c>
      <c r="S7" s="16" t="s">
        <v>792</v>
      </c>
      <c r="T7" s="16" t="s">
        <v>792</v>
      </c>
      <c r="U7" s="16" t="s">
        <v>792</v>
      </c>
      <c r="V7" s="16" t="s">
        <v>792</v>
      </c>
      <c r="W7" s="16" t="s">
        <v>792</v>
      </c>
      <c r="X7" s="16" t="s">
        <v>792</v>
      </c>
      <c r="Y7" s="16" t="s">
        <v>792</v>
      </c>
      <c r="Z7" s="16" t="s">
        <v>792</v>
      </c>
      <c r="AA7" s="16" t="s">
        <v>792</v>
      </c>
      <c r="AB7" s="16" t="s">
        <v>792</v>
      </c>
      <c r="AC7" s="16" t="s">
        <v>792</v>
      </c>
      <c r="AD7" s="16" t="s">
        <v>792</v>
      </c>
      <c r="AE7" s="16" t="s">
        <v>792</v>
      </c>
    </row>
    <row r="8" spans="1:31" s="11" customFormat="1" ht="30" x14ac:dyDescent="0.25">
      <c r="A8" s="15" t="s">
        <v>52</v>
      </c>
      <c r="B8" s="16" t="s">
        <v>53</v>
      </c>
      <c r="C8" s="16" t="s">
        <v>792</v>
      </c>
      <c r="D8" s="16" t="s">
        <v>792</v>
      </c>
      <c r="E8" s="16" t="s">
        <v>792</v>
      </c>
      <c r="F8" s="16" t="s">
        <v>792</v>
      </c>
      <c r="G8" s="16" t="s">
        <v>792</v>
      </c>
      <c r="H8" s="16" t="s">
        <v>792</v>
      </c>
      <c r="I8" s="16" t="s">
        <v>792</v>
      </c>
      <c r="J8" s="16" t="s">
        <v>792</v>
      </c>
      <c r="K8" s="16" t="s">
        <v>792</v>
      </c>
      <c r="L8" s="16" t="s">
        <v>792</v>
      </c>
      <c r="M8" s="16" t="s">
        <v>792</v>
      </c>
      <c r="N8" s="16" t="s">
        <v>792</v>
      </c>
      <c r="O8" s="16" t="s">
        <v>792</v>
      </c>
      <c r="P8" s="16" t="s">
        <v>792</v>
      </c>
      <c r="Q8" s="16" t="s">
        <v>792</v>
      </c>
      <c r="R8" s="16" t="s">
        <v>792</v>
      </c>
      <c r="S8" s="16" t="s">
        <v>792</v>
      </c>
      <c r="T8" s="16" t="s">
        <v>792</v>
      </c>
      <c r="U8" s="16" t="s">
        <v>792</v>
      </c>
      <c r="V8" s="16" t="s">
        <v>792</v>
      </c>
      <c r="W8" s="16" t="s">
        <v>792</v>
      </c>
      <c r="X8" s="16" t="s">
        <v>792</v>
      </c>
      <c r="Y8" s="16" t="s">
        <v>792</v>
      </c>
      <c r="Z8" s="16" t="s">
        <v>792</v>
      </c>
      <c r="AA8" s="16" t="s">
        <v>792</v>
      </c>
      <c r="AB8" s="16" t="s">
        <v>792</v>
      </c>
      <c r="AC8" s="16" t="s">
        <v>792</v>
      </c>
      <c r="AD8" s="16" t="s">
        <v>792</v>
      </c>
      <c r="AE8" s="16" t="s">
        <v>792</v>
      </c>
    </row>
    <row r="9" spans="1:31" s="11" customFormat="1" ht="30" x14ac:dyDescent="0.25">
      <c r="A9" s="15" t="s">
        <v>54</v>
      </c>
      <c r="B9" s="16" t="s">
        <v>55</v>
      </c>
      <c r="C9" s="16" t="s">
        <v>792</v>
      </c>
      <c r="D9" s="16" t="s">
        <v>792</v>
      </c>
      <c r="E9" s="16" t="s">
        <v>792</v>
      </c>
      <c r="F9" s="16" t="s">
        <v>792</v>
      </c>
      <c r="G9" s="16" t="s">
        <v>792</v>
      </c>
      <c r="H9" s="16" t="s">
        <v>792</v>
      </c>
      <c r="I9" s="16" t="s">
        <v>792</v>
      </c>
      <c r="J9" s="16" t="s">
        <v>792</v>
      </c>
      <c r="K9" s="16" t="s">
        <v>792</v>
      </c>
      <c r="L9" s="16" t="s">
        <v>792</v>
      </c>
      <c r="M9" s="16" t="s">
        <v>792</v>
      </c>
      <c r="N9" s="16" t="s">
        <v>792</v>
      </c>
      <c r="O9" s="16" t="s">
        <v>792</v>
      </c>
      <c r="P9" s="16" t="s">
        <v>792</v>
      </c>
      <c r="Q9" s="16" t="s">
        <v>792</v>
      </c>
      <c r="R9" s="16" t="s">
        <v>792</v>
      </c>
      <c r="S9" s="16" t="s">
        <v>792</v>
      </c>
      <c r="T9" s="16" t="s">
        <v>792</v>
      </c>
      <c r="U9" s="16" t="s">
        <v>792</v>
      </c>
      <c r="V9" s="16" t="s">
        <v>792</v>
      </c>
      <c r="W9" s="16" t="s">
        <v>792</v>
      </c>
      <c r="X9" s="16" t="s">
        <v>792</v>
      </c>
      <c r="Y9" s="16" t="s">
        <v>792</v>
      </c>
      <c r="Z9" s="16" t="s">
        <v>792</v>
      </c>
      <c r="AA9" s="16" t="s">
        <v>792</v>
      </c>
      <c r="AB9" s="16" t="s">
        <v>792</v>
      </c>
      <c r="AC9" s="16" t="s">
        <v>792</v>
      </c>
      <c r="AD9" s="16" t="s">
        <v>792</v>
      </c>
      <c r="AE9" s="16" t="s">
        <v>792</v>
      </c>
    </row>
    <row r="10" spans="1:31" s="1" customFormat="1" x14ac:dyDescent="0.25">
      <c r="A10" s="18" t="s">
        <v>56</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s="11" customFormat="1" ht="39.950000000000003" customHeight="1" x14ac:dyDescent="0.25">
      <c r="A11" s="2" t="s">
        <v>57</v>
      </c>
      <c r="B11" s="2" t="s">
        <v>58</v>
      </c>
      <c r="C11" s="2" t="s">
        <v>59</v>
      </c>
      <c r="D11" s="2" t="s">
        <v>60</v>
      </c>
      <c r="E11" s="2" t="s">
        <v>61</v>
      </c>
      <c r="F11" s="2" t="s">
        <v>62</v>
      </c>
      <c r="G11" s="2" t="s">
        <v>63</v>
      </c>
      <c r="H11" s="2" t="s">
        <v>64</v>
      </c>
      <c r="I11" s="2" t="s">
        <v>65</v>
      </c>
      <c r="J11" s="2" t="s">
        <v>66</v>
      </c>
      <c r="K11" s="2" t="s">
        <v>67</v>
      </c>
      <c r="L11" s="2" t="s">
        <v>68</v>
      </c>
      <c r="M11" s="2" t="s">
        <v>69</v>
      </c>
      <c r="N11" s="2" t="s">
        <v>70</v>
      </c>
      <c r="O11" s="2" t="s">
        <v>71</v>
      </c>
      <c r="P11" s="2" t="s">
        <v>72</v>
      </c>
      <c r="Q11" s="2" t="s">
        <v>73</v>
      </c>
      <c r="R11" s="2" t="s">
        <v>74</v>
      </c>
      <c r="S11" s="2" t="s">
        <v>75</v>
      </c>
      <c r="T11" s="2" t="s">
        <v>76</v>
      </c>
      <c r="U11" s="2" t="s">
        <v>795</v>
      </c>
      <c r="V11" s="2" t="s">
        <v>796</v>
      </c>
      <c r="W11" s="2" t="s">
        <v>797</v>
      </c>
      <c r="X11" s="2" t="s">
        <v>80</v>
      </c>
      <c r="Y11" s="2" t="s">
        <v>81</v>
      </c>
      <c r="Z11" s="2" t="s">
        <v>82</v>
      </c>
      <c r="AA11" s="2" t="s">
        <v>83</v>
      </c>
      <c r="AB11" s="2" t="s">
        <v>84</v>
      </c>
      <c r="AC11" s="2" t="s">
        <v>85</v>
      </c>
      <c r="AD11" s="2" t="s">
        <v>86</v>
      </c>
      <c r="AE11" s="2" t="s">
        <v>87</v>
      </c>
    </row>
    <row r="12" spans="1:31" s="1" customFormat="1" ht="45" x14ac:dyDescent="0.25">
      <c r="A12" s="1">
        <v>1</v>
      </c>
      <c r="B12" s="1" t="s">
        <v>861</v>
      </c>
      <c r="C12" s="1" t="s">
        <v>792</v>
      </c>
      <c r="D12" s="1" t="s">
        <v>792</v>
      </c>
      <c r="E12" s="1" t="s">
        <v>792</v>
      </c>
      <c r="J12" s="1" t="s">
        <v>792</v>
      </c>
      <c r="L12" s="1" t="s">
        <v>792</v>
      </c>
      <c r="M12" s="1" t="s">
        <v>792</v>
      </c>
      <c r="N12" s="1" t="s">
        <v>792</v>
      </c>
      <c r="O12" s="1" t="s">
        <v>117</v>
      </c>
      <c r="P12" s="1" t="s">
        <v>117</v>
      </c>
      <c r="Q12" s="1" t="s">
        <v>91</v>
      </c>
      <c r="R12" s="1" t="s">
        <v>90</v>
      </c>
      <c r="S12" s="1" t="s">
        <v>839</v>
      </c>
      <c r="T12" s="1" t="s">
        <v>413</v>
      </c>
      <c r="U12" s="1" t="s">
        <v>47</v>
      </c>
      <c r="V12" s="1" t="s">
        <v>90</v>
      </c>
      <c r="W12" s="1" t="s">
        <v>792</v>
      </c>
      <c r="X12" s="1" t="s">
        <v>792</v>
      </c>
      <c r="Y12" s="1" t="s">
        <v>792</v>
      </c>
      <c r="Z12" s="1" t="s">
        <v>792</v>
      </c>
      <c r="AA12" s="1" t="s">
        <v>792</v>
      </c>
      <c r="AB12" s="1" t="s">
        <v>792</v>
      </c>
      <c r="AC12" s="1" t="s">
        <v>792</v>
      </c>
      <c r="AD12" s="1" t="s">
        <v>792</v>
      </c>
      <c r="AE12" s="1" t="s">
        <v>792</v>
      </c>
    </row>
    <row r="13" spans="1:31" s="1" customFormat="1" x14ac:dyDescent="0.25">
      <c r="A13" s="19" t="s">
        <v>111</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row>
    <row r="14" spans="1:31" s="11" customFormat="1" ht="39.950000000000003" customHeight="1" x14ac:dyDescent="0.25">
      <c r="A14" s="2" t="s">
        <v>57</v>
      </c>
      <c r="B14" s="2" t="s">
        <v>58</v>
      </c>
      <c r="C14" s="2" t="s">
        <v>59</v>
      </c>
      <c r="D14" s="2" t="s">
        <v>60</v>
      </c>
      <c r="E14" s="2" t="s">
        <v>61</v>
      </c>
      <c r="F14" s="2" t="s">
        <v>62</v>
      </c>
      <c r="G14" s="2" t="s">
        <v>63</v>
      </c>
      <c r="H14" s="2" t="s">
        <v>64</v>
      </c>
      <c r="I14" s="2" t="s">
        <v>65</v>
      </c>
      <c r="J14" s="2" t="s">
        <v>66</v>
      </c>
      <c r="K14" s="2" t="s">
        <v>67</v>
      </c>
      <c r="L14" s="2" t="s">
        <v>68</v>
      </c>
      <c r="M14" s="2" t="s">
        <v>69</v>
      </c>
      <c r="N14" s="2" t="s">
        <v>70</v>
      </c>
      <c r="O14" s="2" t="s">
        <v>71</v>
      </c>
      <c r="P14" s="2" t="s">
        <v>72</v>
      </c>
      <c r="Q14" s="2" t="s">
        <v>73</v>
      </c>
      <c r="R14" s="2" t="s">
        <v>74</v>
      </c>
      <c r="S14" s="2" t="s">
        <v>75</v>
      </c>
      <c r="T14" s="2" t="s">
        <v>76</v>
      </c>
      <c r="U14" s="2" t="s">
        <v>795</v>
      </c>
      <c r="V14" s="2" t="s">
        <v>796</v>
      </c>
      <c r="W14" s="2" t="s">
        <v>797</v>
      </c>
      <c r="X14" s="2" t="s">
        <v>80</v>
      </c>
      <c r="Y14" s="2" t="s">
        <v>81</v>
      </c>
      <c r="Z14" s="2" t="s">
        <v>82</v>
      </c>
      <c r="AA14" s="2" t="s">
        <v>83</v>
      </c>
      <c r="AB14" s="2" t="s">
        <v>84</v>
      </c>
      <c r="AC14" s="2" t="s">
        <v>85</v>
      </c>
      <c r="AD14" s="2" t="s">
        <v>86</v>
      </c>
      <c r="AE14" s="2" t="s">
        <v>87</v>
      </c>
    </row>
    <row r="15" spans="1:31" s="11" customFormat="1" ht="30" x14ac:dyDescent="0.25">
      <c r="A15" s="11">
        <v>1</v>
      </c>
      <c r="B15" s="11" t="s">
        <v>860</v>
      </c>
      <c r="C15" s="11" t="s">
        <v>792</v>
      </c>
      <c r="D15" s="11" t="s">
        <v>792</v>
      </c>
      <c r="E15" s="11" t="s">
        <v>792</v>
      </c>
      <c r="F15" s="11" t="s">
        <v>792</v>
      </c>
      <c r="G15" s="11" t="s">
        <v>792</v>
      </c>
      <c r="H15" s="11" t="s">
        <v>792</v>
      </c>
      <c r="I15" s="11" t="s">
        <v>792</v>
      </c>
      <c r="J15" s="11" t="s">
        <v>792</v>
      </c>
      <c r="K15" s="11" t="s">
        <v>792</v>
      </c>
      <c r="L15" s="11" t="s">
        <v>792</v>
      </c>
      <c r="M15" s="11" t="s">
        <v>792</v>
      </c>
      <c r="N15" s="11" t="s">
        <v>792</v>
      </c>
      <c r="O15" s="11" t="s">
        <v>113</v>
      </c>
      <c r="P15" s="11" t="s">
        <v>113</v>
      </c>
      <c r="Q15" s="11" t="s">
        <v>97</v>
      </c>
      <c r="R15" s="11" t="s">
        <v>90</v>
      </c>
      <c r="S15" s="11" t="s">
        <v>840</v>
      </c>
      <c r="T15" s="11" t="s">
        <v>114</v>
      </c>
      <c r="U15" s="11" t="s">
        <v>47</v>
      </c>
      <c r="V15" s="11" t="s">
        <v>47</v>
      </c>
      <c r="W15" s="11">
        <v>-1</v>
      </c>
      <c r="X15" s="11">
        <v>-1</v>
      </c>
      <c r="Y15" s="11" t="s">
        <v>792</v>
      </c>
      <c r="Z15" s="11" t="s">
        <v>792</v>
      </c>
      <c r="AA15" s="11" t="s">
        <v>792</v>
      </c>
      <c r="AB15" s="11" t="s">
        <v>792</v>
      </c>
      <c r="AC15" s="11" t="s">
        <v>792</v>
      </c>
      <c r="AD15" s="11" t="s">
        <v>792</v>
      </c>
      <c r="AE15" s="11" t="s">
        <v>90</v>
      </c>
    </row>
    <row r="16" spans="1:31" s="11" customFormat="1" ht="30" x14ac:dyDescent="0.25">
      <c r="A16" s="11">
        <v>2</v>
      </c>
      <c r="B16" s="11" t="s">
        <v>860</v>
      </c>
      <c r="C16" s="11" t="s">
        <v>792</v>
      </c>
      <c r="D16" s="11" t="s">
        <v>792</v>
      </c>
      <c r="E16" s="11" t="s">
        <v>792</v>
      </c>
      <c r="F16" s="11" t="s">
        <v>792</v>
      </c>
      <c r="G16" s="11" t="s">
        <v>792</v>
      </c>
      <c r="H16" s="11" t="s">
        <v>792</v>
      </c>
      <c r="I16" s="11" t="s">
        <v>792</v>
      </c>
      <c r="J16" s="11" t="s">
        <v>792</v>
      </c>
      <c r="K16" s="11" t="s">
        <v>792</v>
      </c>
      <c r="L16" s="11" t="s">
        <v>792</v>
      </c>
      <c r="M16" s="11" t="s">
        <v>792</v>
      </c>
      <c r="N16" s="11" t="s">
        <v>792</v>
      </c>
      <c r="O16" s="11" t="s">
        <v>115</v>
      </c>
      <c r="P16" s="11" t="s">
        <v>115</v>
      </c>
      <c r="Q16" s="11" t="s">
        <v>91</v>
      </c>
      <c r="R16" s="11" t="s">
        <v>90</v>
      </c>
      <c r="S16" s="11" t="s">
        <v>841</v>
      </c>
      <c r="T16" s="11" t="s">
        <v>116</v>
      </c>
      <c r="U16" s="11" t="s">
        <v>47</v>
      </c>
      <c r="V16" s="11" t="s">
        <v>47</v>
      </c>
      <c r="W16" s="11">
        <v>-1</v>
      </c>
      <c r="X16" s="11">
        <v>-1</v>
      </c>
      <c r="Y16" s="11" t="s">
        <v>792</v>
      </c>
      <c r="Z16" s="11" t="s">
        <v>792</v>
      </c>
      <c r="AA16" s="11" t="s">
        <v>792</v>
      </c>
      <c r="AB16" s="11" t="s">
        <v>792</v>
      </c>
      <c r="AC16" s="11" t="s">
        <v>792</v>
      </c>
      <c r="AD16" s="11" t="s">
        <v>792</v>
      </c>
      <c r="AE16" s="11" t="s">
        <v>90</v>
      </c>
    </row>
    <row r="17" spans="1:31" s="11" customFormat="1" ht="30" x14ac:dyDescent="0.25">
      <c r="A17" s="11">
        <v>3</v>
      </c>
      <c r="B17" s="11" t="s">
        <v>860</v>
      </c>
      <c r="C17" s="11" t="s">
        <v>792</v>
      </c>
      <c r="D17" s="11" t="s">
        <v>792</v>
      </c>
      <c r="E17" s="11" t="s">
        <v>792</v>
      </c>
      <c r="F17" s="11" t="s">
        <v>792</v>
      </c>
      <c r="G17" s="11" t="s">
        <v>792</v>
      </c>
      <c r="H17" s="11" t="s">
        <v>792</v>
      </c>
      <c r="I17" s="11" t="s">
        <v>792</v>
      </c>
      <c r="J17" s="11" t="s">
        <v>792</v>
      </c>
      <c r="K17" s="11" t="s">
        <v>792</v>
      </c>
      <c r="L17" s="11" t="s">
        <v>792</v>
      </c>
      <c r="M17" s="11" t="s">
        <v>792</v>
      </c>
      <c r="N17" s="11" t="s">
        <v>792</v>
      </c>
      <c r="O17" s="11" t="s">
        <v>119</v>
      </c>
      <c r="P17" s="11" t="s">
        <v>119</v>
      </c>
      <c r="Q17" s="11" t="s">
        <v>120</v>
      </c>
      <c r="R17" s="11" t="s">
        <v>90</v>
      </c>
      <c r="S17" s="11" t="s">
        <v>842</v>
      </c>
      <c r="T17" s="11" t="s">
        <v>809</v>
      </c>
      <c r="U17" s="11" t="s">
        <v>47</v>
      </c>
      <c r="V17" s="11" t="s">
        <v>47</v>
      </c>
      <c r="W17" s="11">
        <v>-1</v>
      </c>
      <c r="X17" s="11">
        <v>-1</v>
      </c>
      <c r="Y17" s="11" t="s">
        <v>792</v>
      </c>
      <c r="Z17" s="11" t="s">
        <v>792</v>
      </c>
      <c r="AA17" s="11" t="s">
        <v>792</v>
      </c>
      <c r="AB17" s="11" t="s">
        <v>792</v>
      </c>
      <c r="AC17" s="11" t="s">
        <v>792</v>
      </c>
      <c r="AD17" s="11" t="s">
        <v>792</v>
      </c>
      <c r="AE17" s="11" t="s">
        <v>90</v>
      </c>
    </row>
    <row r="18" spans="1:31" s="1" customFormat="1" x14ac:dyDescent="0.25">
      <c r="A18" s="1" t="s">
        <v>122</v>
      </c>
      <c r="B18" s="1" t="s">
        <v>792</v>
      </c>
      <c r="C18" s="1" t="s">
        <v>792</v>
      </c>
      <c r="D18" s="1" t="s">
        <v>792</v>
      </c>
      <c r="E18" s="1" t="s">
        <v>792</v>
      </c>
      <c r="F18" s="1" t="s">
        <v>792</v>
      </c>
      <c r="G18" s="1" t="s">
        <v>792</v>
      </c>
      <c r="H18" s="1" t="s">
        <v>792</v>
      </c>
      <c r="I18" s="1" t="s">
        <v>792</v>
      </c>
      <c r="J18" s="1" t="s">
        <v>792</v>
      </c>
      <c r="K18" s="1" t="s">
        <v>792</v>
      </c>
      <c r="L18" s="1" t="s">
        <v>792</v>
      </c>
      <c r="M18" s="1" t="s">
        <v>792</v>
      </c>
      <c r="N18" s="1" t="s">
        <v>792</v>
      </c>
      <c r="O18" s="1" t="s">
        <v>792</v>
      </c>
      <c r="P18" s="1" t="s">
        <v>792</v>
      </c>
      <c r="Q18" s="1" t="s">
        <v>792</v>
      </c>
      <c r="R18" s="1" t="s">
        <v>792</v>
      </c>
      <c r="S18" s="1" t="s">
        <v>792</v>
      </c>
      <c r="T18" s="1" t="s">
        <v>792</v>
      </c>
      <c r="U18" s="1" t="s">
        <v>792</v>
      </c>
      <c r="V18" s="1" t="s">
        <v>792</v>
      </c>
      <c r="W18" s="1" t="s">
        <v>792</v>
      </c>
      <c r="X18" s="1" t="s">
        <v>792</v>
      </c>
      <c r="Y18" s="1" t="s">
        <v>792</v>
      </c>
      <c r="Z18" s="1" t="s">
        <v>792</v>
      </c>
      <c r="AA18" s="1" t="s">
        <v>792</v>
      </c>
      <c r="AB18" s="1" t="s">
        <v>792</v>
      </c>
      <c r="AC18" s="1" t="s">
        <v>792</v>
      </c>
      <c r="AD18" s="1" t="s">
        <v>792</v>
      </c>
      <c r="AE18" s="1" t="s">
        <v>792</v>
      </c>
    </row>
  </sheetData>
  <mergeCells count="3">
    <mergeCell ref="A3:AE3"/>
    <mergeCell ref="A10:AE10"/>
    <mergeCell ref="A13:AE13"/>
  </mergeCells>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0"/>
  <sheetViews>
    <sheetView topLeftCell="A1048576" zoomScaleNormal="100" workbookViewId="0"/>
  </sheetViews>
  <sheetFormatPr defaultRowHeight="0" customHeight="1" zeroHeight="1" x14ac:dyDescent="0.25"/>
  <sheetData>
    <row r="1" spans="1:15" ht="15" x14ac:dyDescent="0.25">
      <c r="A1" s="20" t="s">
        <v>315</v>
      </c>
      <c r="B1" s="20"/>
      <c r="C1" s="20"/>
      <c r="D1" s="20"/>
      <c r="E1" s="20"/>
      <c r="F1" s="20"/>
      <c r="G1" s="20"/>
      <c r="H1" s="20"/>
      <c r="I1" s="20"/>
      <c r="J1" s="20"/>
      <c r="K1" s="20"/>
      <c r="L1" s="20"/>
      <c r="M1" s="20"/>
      <c r="N1" s="20"/>
    </row>
    <row r="2" spans="1:15" ht="15" x14ac:dyDescent="0.25">
      <c r="A2" s="20" t="s">
        <v>56</v>
      </c>
      <c r="B2" s="20"/>
      <c r="C2" s="20"/>
      <c r="D2" s="20"/>
      <c r="E2" s="20"/>
      <c r="F2" s="20"/>
      <c r="G2" s="20"/>
      <c r="H2" s="20"/>
      <c r="I2" s="20"/>
      <c r="J2" s="20"/>
      <c r="K2" s="20"/>
      <c r="L2" s="20"/>
      <c r="M2" s="20"/>
      <c r="N2" s="20"/>
    </row>
    <row r="3" spans="1:15" ht="15" x14ac:dyDescent="0.25">
      <c r="A3" t="s">
        <v>303</v>
      </c>
      <c r="B3" t="s">
        <v>304</v>
      </c>
      <c r="C3" t="s">
        <v>305</v>
      </c>
      <c r="D3" t="s">
        <v>306</v>
      </c>
      <c r="E3" t="s">
        <v>307</v>
      </c>
      <c r="F3" t="s">
        <v>308</v>
      </c>
      <c r="G3" t="s">
        <v>316</v>
      </c>
      <c r="H3" t="s">
        <v>309</v>
      </c>
      <c r="I3" t="s">
        <v>310</v>
      </c>
      <c r="J3" t="s">
        <v>82</v>
      </c>
      <c r="K3" t="s">
        <v>83</v>
      </c>
      <c r="L3" t="s">
        <v>84</v>
      </c>
      <c r="M3" t="s">
        <v>85</v>
      </c>
      <c r="N3" t="s">
        <v>86</v>
      </c>
      <c r="O3" t="s">
        <v>317</v>
      </c>
    </row>
    <row r="4" spans="1:15" ht="15" x14ac:dyDescent="0.25">
      <c r="A4">
        <v>1</v>
      </c>
      <c r="E4" t="s">
        <v>318</v>
      </c>
      <c r="F4" t="s">
        <v>89</v>
      </c>
      <c r="H4" t="s">
        <v>47</v>
      </c>
      <c r="I4" t="s">
        <v>319</v>
      </c>
    </row>
    <row r="5" spans="1:15" ht="15" x14ac:dyDescent="0.25">
      <c r="A5">
        <f t="array" aca="1" ref="A5" ca="1">INDIRECT(ADDRESS(ROW()-1,COLUMN()))+1</f>
        <v>2</v>
      </c>
      <c r="E5" t="s">
        <v>320</v>
      </c>
      <c r="F5" t="s">
        <v>89</v>
      </c>
      <c r="H5" t="s">
        <v>47</v>
      </c>
      <c r="I5" t="s">
        <v>319</v>
      </c>
    </row>
    <row r="6" spans="1:15" ht="15" x14ac:dyDescent="0.25">
      <c r="A6">
        <f t="array" aca="1" ref="A6" ca="1">INDIRECT(ADDRESS(ROW()-1,COLUMN()))+1</f>
        <v>3</v>
      </c>
      <c r="B6" t="s">
        <v>321</v>
      </c>
      <c r="E6" t="s">
        <v>101</v>
      </c>
      <c r="F6" t="s">
        <v>89</v>
      </c>
      <c r="G6">
        <v>15</v>
      </c>
      <c r="H6" t="s">
        <v>47</v>
      </c>
      <c r="I6" t="s">
        <v>319</v>
      </c>
      <c r="J6" t="s">
        <v>90</v>
      </c>
      <c r="O6" t="s">
        <v>90</v>
      </c>
    </row>
    <row r="7" spans="1:15" ht="15" x14ac:dyDescent="0.25">
      <c r="A7">
        <f t="array" aca="1" ref="A7" ca="1">INDIRECT(ADDRESS(ROW()-1,COLUMN()))+1</f>
        <v>4</v>
      </c>
      <c r="B7" t="s">
        <v>321</v>
      </c>
      <c r="E7" t="s">
        <v>102</v>
      </c>
      <c r="F7" t="s">
        <v>89</v>
      </c>
      <c r="H7" t="s">
        <v>47</v>
      </c>
      <c r="I7" t="s">
        <v>322</v>
      </c>
      <c r="O7" t="s">
        <v>47</v>
      </c>
    </row>
    <row r="8" spans="1:15" ht="15" x14ac:dyDescent="0.25">
      <c r="A8">
        <f t="array" aca="1" ref="A8" ca="1">INDIRECT(ADDRESS(ROW()-1,COLUMN()))+1</f>
        <v>5</v>
      </c>
      <c r="B8" t="s">
        <v>321</v>
      </c>
      <c r="E8" t="s">
        <v>323</v>
      </c>
      <c r="F8" t="s">
        <v>22</v>
      </c>
      <c r="H8" t="s">
        <v>47</v>
      </c>
      <c r="I8" s="20" t="s">
        <v>324</v>
      </c>
      <c r="J8" t="s">
        <v>90</v>
      </c>
      <c r="O8" t="s">
        <v>47</v>
      </c>
    </row>
    <row r="9" spans="1:15" ht="15" x14ac:dyDescent="0.25">
      <c r="A9">
        <f t="array" aca="1" ref="A9" ca="1">INDIRECT(ADDRESS(ROW()-1,COLUMN()))+1</f>
        <v>6</v>
      </c>
      <c r="B9" t="s">
        <v>321</v>
      </c>
      <c r="E9" t="s">
        <v>325</v>
      </c>
      <c r="F9" t="s">
        <v>22</v>
      </c>
      <c r="H9" t="s">
        <v>47</v>
      </c>
      <c r="I9" s="20"/>
      <c r="J9" t="s">
        <v>90</v>
      </c>
      <c r="O9" t="s">
        <v>47</v>
      </c>
    </row>
    <row r="10" spans="1:15" ht="15" x14ac:dyDescent="0.25">
      <c r="A10">
        <f t="array" aca="1" ref="A10" ca="1">INDIRECT(ADDRESS(ROW()-1,COLUMN()))+1</f>
        <v>7</v>
      </c>
      <c r="B10" t="s">
        <v>326</v>
      </c>
      <c r="E10" t="s">
        <v>117</v>
      </c>
      <c r="F10" t="s">
        <v>89</v>
      </c>
      <c r="G10">
        <v>24</v>
      </c>
      <c r="H10" t="s">
        <v>47</v>
      </c>
      <c r="I10" t="s">
        <v>327</v>
      </c>
      <c r="J10" t="s">
        <v>90</v>
      </c>
      <c r="O10" t="s">
        <v>47</v>
      </c>
    </row>
    <row r="11" spans="1:15" ht="15" x14ac:dyDescent="0.25">
      <c r="A11">
        <f t="array" aca="1" ref="A11" ca="1">INDIRECT(ADDRESS(ROW()-1,COLUMN()))+1</f>
        <v>8</v>
      </c>
      <c r="B11" t="s">
        <v>326</v>
      </c>
      <c r="E11" t="s">
        <v>328</v>
      </c>
      <c r="F11" t="s">
        <v>329</v>
      </c>
      <c r="H11" t="s">
        <v>47</v>
      </c>
      <c r="I11" t="s">
        <v>330</v>
      </c>
      <c r="J11" t="s">
        <v>90</v>
      </c>
      <c r="K11" t="s">
        <v>90</v>
      </c>
      <c r="M11" t="s">
        <v>331</v>
      </c>
      <c r="O11" t="s">
        <v>47</v>
      </c>
    </row>
    <row r="12" spans="1:15" ht="15" x14ac:dyDescent="0.25">
      <c r="A12">
        <f t="array" aca="1" ref="A12" ca="1">INDIRECT(ADDRESS(ROW()-1,COLUMN()))+1</f>
        <v>9</v>
      </c>
      <c r="B12" t="s">
        <v>326</v>
      </c>
      <c r="E12" t="s">
        <v>332</v>
      </c>
      <c r="F12" t="s">
        <v>333</v>
      </c>
      <c r="H12" t="s">
        <v>47</v>
      </c>
      <c r="I12" s="20" t="s">
        <v>334</v>
      </c>
      <c r="J12" t="s">
        <v>90</v>
      </c>
      <c r="O12" t="s">
        <v>47</v>
      </c>
    </row>
    <row r="13" spans="1:15" ht="15" x14ac:dyDescent="0.25">
      <c r="A13">
        <f t="array" aca="1" ref="A13" ca="1">INDIRECT(ADDRESS(ROW()-1,COLUMN()))+1</f>
        <v>10</v>
      </c>
      <c r="B13" t="s">
        <v>326</v>
      </c>
      <c r="E13" t="s">
        <v>335</v>
      </c>
      <c r="F13" t="s">
        <v>333</v>
      </c>
      <c r="H13" t="s">
        <v>47</v>
      </c>
      <c r="I13" s="20"/>
      <c r="J13" t="s">
        <v>90</v>
      </c>
      <c r="O13" t="s">
        <v>47</v>
      </c>
    </row>
    <row r="14" spans="1:15" ht="15" x14ac:dyDescent="0.25">
      <c r="A14">
        <f t="array" aca="1" ref="A14" ca="1">INDIRECT(ADDRESS(ROW()-1,COLUMN()))+1</f>
        <v>11</v>
      </c>
      <c r="B14" t="s">
        <v>326</v>
      </c>
      <c r="E14" t="s">
        <v>336</v>
      </c>
      <c r="F14" t="s">
        <v>22</v>
      </c>
      <c r="H14" t="s">
        <v>47</v>
      </c>
      <c r="I14" s="20" t="s">
        <v>337</v>
      </c>
      <c r="J14" t="s">
        <v>90</v>
      </c>
      <c r="O14" t="s">
        <v>47</v>
      </c>
    </row>
    <row r="15" spans="1:15" ht="15" x14ac:dyDescent="0.25">
      <c r="A15">
        <f t="array" aca="1" ref="A15" ca="1">INDIRECT(ADDRESS(ROW()-1,COLUMN()))+1</f>
        <v>12</v>
      </c>
      <c r="B15" t="s">
        <v>326</v>
      </c>
      <c r="E15" t="s">
        <v>338</v>
      </c>
      <c r="F15" t="s">
        <v>22</v>
      </c>
      <c r="H15" t="s">
        <v>47</v>
      </c>
      <c r="I15" s="20"/>
      <c r="J15" t="s">
        <v>90</v>
      </c>
      <c r="O15" t="s">
        <v>47</v>
      </c>
    </row>
    <row r="16" spans="1:15" ht="15" x14ac:dyDescent="0.25">
      <c r="A16">
        <f t="array" aca="1" ref="A16" ca="1">INDIRECT(ADDRESS(ROW()-1,COLUMN()))+1</f>
        <v>13</v>
      </c>
      <c r="B16" t="s">
        <v>326</v>
      </c>
      <c r="E16" t="s">
        <v>339</v>
      </c>
      <c r="F16" t="s">
        <v>22</v>
      </c>
      <c r="H16" t="s">
        <v>47</v>
      </c>
      <c r="I16" s="20" t="s">
        <v>340</v>
      </c>
      <c r="J16" t="s">
        <v>90</v>
      </c>
      <c r="O16" t="s">
        <v>47</v>
      </c>
    </row>
    <row r="17" spans="1:15" ht="15" x14ac:dyDescent="0.25">
      <c r="A17">
        <f t="array" aca="1" ref="A17" ca="1">INDIRECT(ADDRESS(ROW()-1,COLUMN()))+1</f>
        <v>14</v>
      </c>
      <c r="B17" t="s">
        <v>326</v>
      </c>
      <c r="E17" t="s">
        <v>341</v>
      </c>
      <c r="F17" t="s">
        <v>22</v>
      </c>
      <c r="H17" t="s">
        <v>47</v>
      </c>
      <c r="I17" s="20"/>
      <c r="J17" t="s">
        <v>90</v>
      </c>
      <c r="O17" t="s">
        <v>47</v>
      </c>
    </row>
    <row r="18" spans="1:15" ht="15" x14ac:dyDescent="0.25">
      <c r="A18">
        <f t="array" aca="1" ref="A18" ca="1">INDIRECT(ADDRESS(ROW()-1,COLUMN()))+1</f>
        <v>15</v>
      </c>
      <c r="B18" t="s">
        <v>326</v>
      </c>
      <c r="E18" t="s">
        <v>342</v>
      </c>
      <c r="F18" t="s">
        <v>329</v>
      </c>
      <c r="H18" t="s">
        <v>47</v>
      </c>
      <c r="I18" t="s">
        <v>343</v>
      </c>
      <c r="J18" t="s">
        <v>90</v>
      </c>
      <c r="K18" t="s">
        <v>90</v>
      </c>
      <c r="M18" t="s">
        <v>344</v>
      </c>
      <c r="O18" t="s">
        <v>47</v>
      </c>
    </row>
    <row r="19" spans="1:15" ht="15" x14ac:dyDescent="0.25">
      <c r="A19">
        <f t="array" aca="1" ref="A19" ca="1">INDIRECT(ADDRESS(ROW()-1,COLUMN()))+1</f>
        <v>16</v>
      </c>
      <c r="B19" t="s">
        <v>326</v>
      </c>
      <c r="E19" t="s">
        <v>345</v>
      </c>
      <c r="F19" t="s">
        <v>89</v>
      </c>
      <c r="G19">
        <v>3500</v>
      </c>
      <c r="H19" t="s">
        <v>47</v>
      </c>
      <c r="I19" t="s">
        <v>319</v>
      </c>
      <c r="J19" t="s">
        <v>90</v>
      </c>
    </row>
    <row r="20" spans="1:15" ht="15" x14ac:dyDescent="0.25">
      <c r="A20">
        <f t="array" aca="1" ref="A20" ca="1">INDIRECT(ADDRESS(ROW()-1,COLUMN()))+1</f>
        <v>17</v>
      </c>
      <c r="B20" t="s">
        <v>326</v>
      </c>
      <c r="E20" t="s">
        <v>99</v>
      </c>
      <c r="F20" t="s">
        <v>89</v>
      </c>
      <c r="H20" t="s">
        <v>47</v>
      </c>
      <c r="I20" t="s">
        <v>346</v>
      </c>
    </row>
    <row r="21" spans="1:15" ht="15" x14ac:dyDescent="0.25">
      <c r="A21" s="20" t="s">
        <v>347</v>
      </c>
      <c r="B21" s="20"/>
      <c r="C21" s="20"/>
      <c r="D21" s="20"/>
      <c r="E21" s="20"/>
      <c r="F21" s="20"/>
      <c r="G21" s="20"/>
      <c r="H21" s="20"/>
      <c r="I21" s="20"/>
      <c r="J21" s="20"/>
      <c r="K21" s="20"/>
      <c r="L21" s="20"/>
      <c r="M21" s="20"/>
      <c r="N21" s="20"/>
    </row>
    <row r="22" spans="1:15" ht="15" x14ac:dyDescent="0.25">
      <c r="A22" s="20" t="s">
        <v>111</v>
      </c>
      <c r="B22" s="20"/>
      <c r="C22" s="20"/>
      <c r="D22" s="20"/>
      <c r="E22" s="20"/>
      <c r="F22" s="20"/>
      <c r="G22" s="20"/>
      <c r="H22" s="20"/>
      <c r="I22" s="20"/>
      <c r="J22" s="20"/>
      <c r="K22" s="20"/>
      <c r="L22" s="20"/>
      <c r="M22" s="20"/>
      <c r="N22" s="20"/>
    </row>
    <row r="23" spans="1:15" ht="15" x14ac:dyDescent="0.25">
      <c r="A23" t="s">
        <v>303</v>
      </c>
      <c r="B23" t="s">
        <v>304</v>
      </c>
      <c r="C23" t="s">
        <v>305</v>
      </c>
      <c r="D23" t="s">
        <v>306</v>
      </c>
      <c r="E23" t="s">
        <v>307</v>
      </c>
      <c r="F23" t="s">
        <v>308</v>
      </c>
      <c r="H23" t="s">
        <v>309</v>
      </c>
      <c r="I23" t="s">
        <v>310</v>
      </c>
      <c r="J23" t="s">
        <v>82</v>
      </c>
      <c r="K23" t="s">
        <v>83</v>
      </c>
    </row>
    <row r="24" spans="1:15" ht="15" x14ac:dyDescent="0.25">
      <c r="A24">
        <v>1</v>
      </c>
      <c r="E24" t="s">
        <v>348</v>
      </c>
      <c r="H24" t="s">
        <v>90</v>
      </c>
      <c r="I24" t="s">
        <v>349</v>
      </c>
    </row>
    <row r="25" spans="1:15" ht="15" x14ac:dyDescent="0.25">
      <c r="A25">
        <f t="array" aca="1" ref="A25" ca="1">INDIRECT(ADDRESS(ROW()-1,COLUMN()))+1</f>
        <v>2</v>
      </c>
      <c r="E25" t="s">
        <v>318</v>
      </c>
      <c r="F25" t="s">
        <v>89</v>
      </c>
      <c r="H25" t="s">
        <v>90</v>
      </c>
      <c r="I25" t="s">
        <v>350</v>
      </c>
    </row>
    <row r="26" spans="1:15" ht="15" x14ac:dyDescent="0.25">
      <c r="A26">
        <f t="array" aca="1" ref="A26" ca="1">INDIRECT(ADDRESS(ROW()-1,COLUMN()))+1</f>
        <v>3</v>
      </c>
      <c r="E26" t="s">
        <v>320</v>
      </c>
      <c r="F26" t="s">
        <v>89</v>
      </c>
      <c r="H26" t="s">
        <v>90</v>
      </c>
      <c r="I26" t="s">
        <v>351</v>
      </c>
    </row>
    <row r="27" spans="1:15" ht="15" x14ac:dyDescent="0.25">
      <c r="A27">
        <f t="array" aca="1" ref="A27" ca="1">INDIRECT(ADDRESS(ROW()-1,COLUMN()))+1</f>
        <v>4</v>
      </c>
      <c r="E27" t="s">
        <v>352</v>
      </c>
      <c r="F27" t="s">
        <v>89</v>
      </c>
      <c r="H27" t="s">
        <v>90</v>
      </c>
      <c r="I27" t="s">
        <v>353</v>
      </c>
    </row>
    <row r="28" spans="1:15" ht="15" x14ac:dyDescent="0.25">
      <c r="A28">
        <f t="array" aca="1" ref="A28" ca="1">INDIRECT(ADDRESS(ROW()-1,COLUMN()))+1</f>
        <v>5</v>
      </c>
      <c r="B28" t="s">
        <v>354</v>
      </c>
      <c r="C28" t="s">
        <v>90</v>
      </c>
      <c r="D28" t="s">
        <v>90</v>
      </c>
      <c r="E28" t="s">
        <v>101</v>
      </c>
      <c r="F28" t="s">
        <v>89</v>
      </c>
      <c r="H28" t="s">
        <v>90</v>
      </c>
      <c r="I28" t="s">
        <v>355</v>
      </c>
    </row>
    <row r="29" spans="1:15" ht="15" x14ac:dyDescent="0.25">
      <c r="A29">
        <f t="array" aca="1" ref="A29" ca="1">INDIRECT(ADDRESS(ROW()-1,COLUMN()))+1</f>
        <v>6</v>
      </c>
      <c r="B29" t="s">
        <v>354</v>
      </c>
      <c r="C29" t="s">
        <v>90</v>
      </c>
      <c r="D29" t="s">
        <v>90</v>
      </c>
      <c r="E29" t="s">
        <v>102</v>
      </c>
      <c r="F29" t="s">
        <v>89</v>
      </c>
      <c r="H29" t="s">
        <v>90</v>
      </c>
      <c r="I29" t="s">
        <v>322</v>
      </c>
    </row>
    <row r="30" spans="1:15" ht="15" x14ac:dyDescent="0.25">
      <c r="A30">
        <f t="array" aca="1" ref="A30" ca="1">INDIRECT(ADDRESS(ROW()-1,COLUMN()))+1</f>
        <v>7</v>
      </c>
      <c r="B30" t="s">
        <v>356</v>
      </c>
      <c r="C30" t="s">
        <v>90</v>
      </c>
      <c r="D30" t="s">
        <v>90</v>
      </c>
      <c r="E30" t="s">
        <v>88</v>
      </c>
      <c r="F30" t="s">
        <v>125</v>
      </c>
      <c r="H30" t="s">
        <v>90</v>
      </c>
      <c r="I30" t="s">
        <v>357</v>
      </c>
    </row>
    <row r="31" spans="1:15" ht="15" x14ac:dyDescent="0.25">
      <c r="A31">
        <f t="array" aca="1" ref="A31" ca="1">INDIRECT(ADDRESS(ROW()-1,COLUMN()))+1</f>
        <v>8</v>
      </c>
      <c r="B31" t="s">
        <v>356</v>
      </c>
      <c r="C31" t="s">
        <v>90</v>
      </c>
      <c r="D31" t="s">
        <v>90</v>
      </c>
      <c r="E31" t="s">
        <v>358</v>
      </c>
      <c r="F31" t="s">
        <v>125</v>
      </c>
      <c r="H31" t="s">
        <v>90</v>
      </c>
      <c r="I31" t="s">
        <v>359</v>
      </c>
    </row>
    <row r="32" spans="1:15" ht="15" x14ac:dyDescent="0.25">
      <c r="A32">
        <f t="array" aca="1" ref="A32" ca="1">INDIRECT(ADDRESS(ROW()-1,COLUMN()))+1</f>
        <v>9</v>
      </c>
      <c r="B32" t="s">
        <v>356</v>
      </c>
      <c r="C32" t="s">
        <v>90</v>
      </c>
      <c r="D32" t="s">
        <v>90</v>
      </c>
      <c r="E32" t="s">
        <v>360</v>
      </c>
      <c r="F32" t="s">
        <v>89</v>
      </c>
      <c r="H32" t="s">
        <v>90</v>
      </c>
    </row>
    <row r="33" spans="1:11" ht="15" x14ac:dyDescent="0.25">
      <c r="A33">
        <f t="array" aca="1" ref="A33" ca="1">INDIRECT(ADDRESS(ROW()-1,COLUMN()))+1</f>
        <v>10</v>
      </c>
      <c r="B33" t="s">
        <v>356</v>
      </c>
      <c r="C33" t="s">
        <v>90</v>
      </c>
      <c r="D33" t="s">
        <v>90</v>
      </c>
      <c r="E33" t="s">
        <v>92</v>
      </c>
      <c r="F33" t="s">
        <v>22</v>
      </c>
      <c r="H33" t="s">
        <v>90</v>
      </c>
      <c r="I33" t="s">
        <v>361</v>
      </c>
    </row>
    <row r="34" spans="1:11" ht="15" x14ac:dyDescent="0.25">
      <c r="A34">
        <f t="array" aca="1" ref="A34" ca="1">INDIRECT(ADDRESS(ROW()-1,COLUMN()))+1</f>
        <v>11</v>
      </c>
      <c r="B34" t="s">
        <v>356</v>
      </c>
      <c r="C34" t="s">
        <v>90</v>
      </c>
      <c r="D34" t="s">
        <v>90</v>
      </c>
      <c r="E34" t="s">
        <v>3</v>
      </c>
      <c r="F34" t="s">
        <v>89</v>
      </c>
      <c r="H34" t="s">
        <v>90</v>
      </c>
      <c r="I34" t="s">
        <v>362</v>
      </c>
    </row>
    <row r="35" spans="1:11" ht="15" x14ac:dyDescent="0.25">
      <c r="A35">
        <f t="array" aca="1" ref="A35" ca="1">INDIRECT(ADDRESS(ROW()-1,COLUMN()))+1</f>
        <v>12</v>
      </c>
      <c r="B35" t="s">
        <v>356</v>
      </c>
      <c r="C35" t="s">
        <v>90</v>
      </c>
      <c r="D35" t="s">
        <v>90</v>
      </c>
      <c r="E35" t="s">
        <v>117</v>
      </c>
      <c r="F35" t="s">
        <v>89</v>
      </c>
      <c r="H35" t="s">
        <v>90</v>
      </c>
      <c r="I35" t="s">
        <v>363</v>
      </c>
    </row>
    <row r="36" spans="1:11" ht="15" x14ac:dyDescent="0.25">
      <c r="A36">
        <f t="array" aca="1" ref="A36" ca="1">INDIRECT(ADDRESS(ROW()-1,COLUMN()))+1</f>
        <v>13</v>
      </c>
      <c r="B36" t="s">
        <v>356</v>
      </c>
      <c r="C36" t="s">
        <v>90</v>
      </c>
      <c r="D36" t="s">
        <v>90</v>
      </c>
      <c r="E36" t="s">
        <v>364</v>
      </c>
      <c r="F36" t="s">
        <v>329</v>
      </c>
      <c r="H36" t="s">
        <v>90</v>
      </c>
      <c r="I36" t="s">
        <v>365</v>
      </c>
      <c r="J36" t="s">
        <v>90</v>
      </c>
      <c r="K36" t="s">
        <v>90</v>
      </c>
    </row>
    <row r="37" spans="1:11" ht="15" x14ac:dyDescent="0.25">
      <c r="A37">
        <f t="array" aca="1" ref="A37" ca="1">INDIRECT(ADDRESS(ROW()-1,COLUMN()))+1</f>
        <v>14</v>
      </c>
      <c r="B37" t="s">
        <v>356</v>
      </c>
      <c r="C37" t="s">
        <v>90</v>
      </c>
      <c r="D37" t="s">
        <v>90</v>
      </c>
      <c r="E37" t="s">
        <v>366</v>
      </c>
      <c r="F37" t="s">
        <v>22</v>
      </c>
      <c r="H37" t="s">
        <v>90</v>
      </c>
    </row>
    <row r="38" spans="1:11" ht="15" x14ac:dyDescent="0.25">
      <c r="A38">
        <f t="array" aca="1" ref="A38" ca="1">INDIRECT(ADDRESS(ROW()-1,COLUMN()))+1</f>
        <v>15</v>
      </c>
      <c r="B38" t="s">
        <v>356</v>
      </c>
      <c r="C38" t="s">
        <v>90</v>
      </c>
      <c r="D38" t="s">
        <v>90</v>
      </c>
      <c r="E38" t="s">
        <v>345</v>
      </c>
      <c r="F38" t="s">
        <v>89</v>
      </c>
      <c r="H38" t="s">
        <v>47</v>
      </c>
    </row>
    <row r="39" spans="1:11" ht="15" x14ac:dyDescent="0.25">
      <c r="A39">
        <f t="array" aca="1" ref="A39" ca="1">INDIRECT(ADDRESS(ROW()-1,COLUMN()))+1</f>
        <v>16</v>
      </c>
      <c r="B39" t="s">
        <v>356</v>
      </c>
      <c r="C39" t="s">
        <v>90</v>
      </c>
      <c r="D39" t="s">
        <v>90</v>
      </c>
      <c r="E39" t="s">
        <v>99</v>
      </c>
      <c r="F39" t="s">
        <v>89</v>
      </c>
      <c r="H39" t="s">
        <v>90</v>
      </c>
      <c r="I39" t="s">
        <v>346</v>
      </c>
    </row>
    <row r="40" spans="1:11" ht="15" x14ac:dyDescent="0.25">
      <c r="A40">
        <f t="array" aca="1" ref="A40" ca="1">INDIRECT(ADDRESS(ROW()-1,COLUMN()))+1</f>
        <v>17</v>
      </c>
      <c r="C40" t="s">
        <v>90</v>
      </c>
      <c r="D40" t="s">
        <v>47</v>
      </c>
      <c r="E40" t="s">
        <v>367</v>
      </c>
      <c r="F40" t="s">
        <v>89</v>
      </c>
      <c r="H40" t="s">
        <v>47</v>
      </c>
      <c r="I40" t="s">
        <v>368</v>
      </c>
    </row>
  </sheetData>
  <mergeCells count="8">
    <mergeCell ref="I16:I17"/>
    <mergeCell ref="A21:N21"/>
    <mergeCell ref="A22:N22"/>
    <mergeCell ref="A1:N1"/>
    <mergeCell ref="A2:N2"/>
    <mergeCell ref="I8:I9"/>
    <mergeCell ref="I12:I13"/>
    <mergeCell ref="I14:I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32"/>
  <sheetViews>
    <sheetView tabSelected="1" topLeftCell="N12" workbookViewId="0">
      <selection activeCell="T16" sqref="T16:T29"/>
    </sheetView>
  </sheetViews>
  <sheetFormatPr defaultRowHeight="15" x14ac:dyDescent="0.25"/>
  <cols>
    <col min="1" max="1" width="19.5703125" customWidth="1"/>
    <col min="2" max="2" width="44.28515625" customWidth="1"/>
    <col min="3" max="4" width="20" customWidth="1"/>
    <col min="5" max="5" width="8" customWidth="1"/>
    <col min="6" max="6" width="30" customWidth="1"/>
    <col min="7" max="7" width="20" customWidth="1"/>
    <col min="8" max="8" width="8" customWidth="1"/>
    <col min="9" max="9" width="60" customWidth="1"/>
    <col min="10" max="10" width="20" customWidth="1"/>
    <col min="11" max="11" width="8" customWidth="1"/>
    <col min="12" max="13" width="20" customWidth="1"/>
    <col min="14" max="16" width="30" customWidth="1"/>
    <col min="17" max="17" width="16" customWidth="1"/>
    <col min="18" max="18" width="10" customWidth="1"/>
    <col min="19" max="20" width="80" customWidth="1"/>
    <col min="21" max="22" width="12" customWidth="1"/>
    <col min="23" max="24" width="10" customWidth="1"/>
    <col min="25" max="25" width="20" customWidth="1"/>
    <col min="26" max="27" width="10" customWidth="1"/>
    <col min="28" max="28" width="20" customWidth="1"/>
    <col min="29" max="29" width="30" customWidth="1"/>
    <col min="30" max="30" width="20" customWidth="1"/>
    <col min="31" max="31" width="12" customWidth="1"/>
  </cols>
  <sheetData>
    <row r="1" spans="1:31" s="11" customFormat="1" x14ac:dyDescent="0.25">
      <c r="A1" s="2" t="s">
        <v>41</v>
      </c>
      <c r="B1" s="12" t="s">
        <v>42</v>
      </c>
      <c r="C1" s="12" t="s">
        <v>792</v>
      </c>
      <c r="D1" s="12" t="s">
        <v>792</v>
      </c>
      <c r="E1" s="12" t="s">
        <v>792</v>
      </c>
      <c r="F1" s="12" t="s">
        <v>792</v>
      </c>
      <c r="G1" s="12" t="s">
        <v>792</v>
      </c>
      <c r="H1" s="12" t="s">
        <v>792</v>
      </c>
      <c r="I1" s="12" t="s">
        <v>792</v>
      </c>
      <c r="J1" s="12" t="s">
        <v>792</v>
      </c>
      <c r="K1" s="12" t="s">
        <v>792</v>
      </c>
      <c r="L1" s="12" t="s">
        <v>792</v>
      </c>
      <c r="M1" s="12" t="s">
        <v>792</v>
      </c>
      <c r="N1" s="12" t="s">
        <v>792</v>
      </c>
      <c r="O1" s="12" t="s">
        <v>792</v>
      </c>
      <c r="P1" s="12" t="s">
        <v>792</v>
      </c>
      <c r="Q1" s="12" t="s">
        <v>792</v>
      </c>
      <c r="R1" s="12" t="s">
        <v>792</v>
      </c>
      <c r="S1" s="12" t="s">
        <v>792</v>
      </c>
      <c r="T1" s="12" t="s">
        <v>792</v>
      </c>
      <c r="U1" s="12" t="s">
        <v>792</v>
      </c>
      <c r="V1" s="12" t="s">
        <v>792</v>
      </c>
      <c r="W1" s="12" t="s">
        <v>792</v>
      </c>
      <c r="X1" s="12" t="s">
        <v>792</v>
      </c>
      <c r="Y1" s="12" t="s">
        <v>792</v>
      </c>
      <c r="Z1" s="12" t="s">
        <v>792</v>
      </c>
      <c r="AA1" s="12" t="s">
        <v>792</v>
      </c>
      <c r="AB1" s="12" t="s">
        <v>792</v>
      </c>
      <c r="AC1" s="12" t="s">
        <v>792</v>
      </c>
      <c r="AD1" s="12" t="s">
        <v>792</v>
      </c>
      <c r="AE1" s="12" t="s">
        <v>792</v>
      </c>
    </row>
    <row r="2" spans="1:31" s="11" customFormat="1" x14ac:dyDescent="0.25">
      <c r="A2" s="13" t="s">
        <v>43</v>
      </c>
      <c r="B2" s="14" t="s">
        <v>44</v>
      </c>
      <c r="C2" s="14" t="s">
        <v>792</v>
      </c>
      <c r="D2" s="14" t="s">
        <v>792</v>
      </c>
      <c r="E2" s="14" t="s">
        <v>792</v>
      </c>
      <c r="F2" s="14" t="s">
        <v>792</v>
      </c>
      <c r="G2" s="14" t="s">
        <v>792</v>
      </c>
      <c r="H2" s="14" t="s">
        <v>792</v>
      </c>
      <c r="I2" s="14" t="s">
        <v>792</v>
      </c>
      <c r="J2" s="14" t="s">
        <v>792</v>
      </c>
      <c r="K2" s="14" t="s">
        <v>792</v>
      </c>
      <c r="L2" s="14" t="s">
        <v>792</v>
      </c>
      <c r="M2" s="14" t="s">
        <v>792</v>
      </c>
      <c r="N2" s="14" t="s">
        <v>792</v>
      </c>
      <c r="O2" s="14" t="s">
        <v>792</v>
      </c>
      <c r="P2" s="14" t="s">
        <v>792</v>
      </c>
      <c r="Q2" s="14" t="s">
        <v>792</v>
      </c>
      <c r="R2" s="14" t="s">
        <v>792</v>
      </c>
      <c r="S2" s="14" t="s">
        <v>792</v>
      </c>
      <c r="T2" s="14" t="s">
        <v>792</v>
      </c>
      <c r="U2" s="14" t="s">
        <v>792</v>
      </c>
      <c r="V2" s="14" t="s">
        <v>792</v>
      </c>
      <c r="W2" s="14" t="s">
        <v>792</v>
      </c>
      <c r="X2" s="14" t="s">
        <v>792</v>
      </c>
      <c r="Y2" s="14" t="s">
        <v>792</v>
      </c>
      <c r="Z2" s="14" t="s">
        <v>792</v>
      </c>
      <c r="AA2" s="14" t="s">
        <v>792</v>
      </c>
      <c r="AB2" s="14" t="s">
        <v>792</v>
      </c>
      <c r="AC2" s="14" t="s">
        <v>792</v>
      </c>
      <c r="AD2" s="14" t="s">
        <v>792</v>
      </c>
      <c r="AE2" s="14" t="s">
        <v>792</v>
      </c>
    </row>
    <row r="3" spans="1:31" s="11" customFormat="1" x14ac:dyDescent="0.25">
      <c r="A3" s="17" t="s">
        <v>45</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s="11" customFormat="1" x14ac:dyDescent="0.25">
      <c r="A4" s="15" t="s">
        <v>46</v>
      </c>
      <c r="B4" s="16" t="s">
        <v>47</v>
      </c>
      <c r="C4" s="16" t="s">
        <v>792</v>
      </c>
      <c r="D4" s="16" t="s">
        <v>792</v>
      </c>
      <c r="E4" s="16" t="s">
        <v>792</v>
      </c>
      <c r="F4" s="16" t="s">
        <v>792</v>
      </c>
      <c r="G4" s="16" t="s">
        <v>792</v>
      </c>
      <c r="H4" s="16" t="s">
        <v>792</v>
      </c>
      <c r="I4" s="16" t="s">
        <v>792</v>
      </c>
      <c r="J4" s="16" t="s">
        <v>792</v>
      </c>
      <c r="K4" s="16" t="s">
        <v>792</v>
      </c>
      <c r="L4" s="16" t="s">
        <v>792</v>
      </c>
      <c r="M4" s="16" t="s">
        <v>792</v>
      </c>
      <c r="N4" s="16" t="s">
        <v>792</v>
      </c>
      <c r="O4" s="16" t="s">
        <v>792</v>
      </c>
      <c r="P4" s="16" t="s">
        <v>792</v>
      </c>
      <c r="Q4" s="16" t="s">
        <v>792</v>
      </c>
      <c r="R4" s="16" t="s">
        <v>792</v>
      </c>
      <c r="S4" s="16" t="s">
        <v>792</v>
      </c>
      <c r="T4" s="16" t="s">
        <v>792</v>
      </c>
      <c r="U4" s="16" t="s">
        <v>792</v>
      </c>
      <c r="V4" s="16" t="s">
        <v>792</v>
      </c>
      <c r="W4" s="16" t="s">
        <v>792</v>
      </c>
      <c r="X4" s="16" t="s">
        <v>792</v>
      </c>
      <c r="Y4" s="16" t="s">
        <v>792</v>
      </c>
      <c r="Z4" s="16" t="s">
        <v>792</v>
      </c>
      <c r="AA4" s="16" t="s">
        <v>792</v>
      </c>
      <c r="AB4" s="16" t="s">
        <v>792</v>
      </c>
      <c r="AC4" s="16" t="s">
        <v>792</v>
      </c>
      <c r="AD4" s="16" t="s">
        <v>792</v>
      </c>
      <c r="AE4" s="16" t="s">
        <v>792</v>
      </c>
    </row>
    <row r="5" spans="1:31" s="11" customFormat="1" ht="30" x14ac:dyDescent="0.25">
      <c r="A5" s="15" t="s">
        <v>48</v>
      </c>
      <c r="B5" s="16" t="s">
        <v>49</v>
      </c>
      <c r="C5" s="16" t="s">
        <v>792</v>
      </c>
      <c r="D5" s="16" t="s">
        <v>792</v>
      </c>
      <c r="E5" s="16" t="s">
        <v>792</v>
      </c>
      <c r="F5" s="16" t="s">
        <v>792</v>
      </c>
      <c r="G5" s="16" t="s">
        <v>792</v>
      </c>
      <c r="H5" s="16" t="s">
        <v>792</v>
      </c>
      <c r="I5" s="16" t="s">
        <v>792</v>
      </c>
      <c r="J5" s="16" t="s">
        <v>792</v>
      </c>
      <c r="K5" s="16" t="s">
        <v>792</v>
      </c>
      <c r="L5" s="16" t="s">
        <v>792</v>
      </c>
      <c r="M5" s="16" t="s">
        <v>792</v>
      </c>
      <c r="N5" s="16" t="s">
        <v>792</v>
      </c>
      <c r="O5" s="16" t="s">
        <v>792</v>
      </c>
      <c r="P5" s="16" t="s">
        <v>792</v>
      </c>
      <c r="Q5" s="16" t="s">
        <v>792</v>
      </c>
      <c r="R5" s="16" t="s">
        <v>792</v>
      </c>
      <c r="S5" s="16" t="s">
        <v>792</v>
      </c>
      <c r="T5" s="16" t="s">
        <v>792</v>
      </c>
      <c r="U5" s="16" t="s">
        <v>792</v>
      </c>
      <c r="V5" s="16" t="s">
        <v>792</v>
      </c>
      <c r="W5" s="16" t="s">
        <v>792</v>
      </c>
      <c r="X5" s="16" t="s">
        <v>792</v>
      </c>
      <c r="Y5" s="16" t="s">
        <v>792</v>
      </c>
      <c r="Z5" s="16" t="s">
        <v>792</v>
      </c>
      <c r="AA5" s="16" t="s">
        <v>792</v>
      </c>
      <c r="AB5" s="16" t="s">
        <v>792</v>
      </c>
      <c r="AC5" s="16" t="s">
        <v>792</v>
      </c>
      <c r="AD5" s="16" t="s">
        <v>792</v>
      </c>
      <c r="AE5" s="16" t="s">
        <v>792</v>
      </c>
    </row>
    <row r="6" spans="1:31" s="11" customFormat="1" x14ac:dyDescent="0.25">
      <c r="A6" s="15" t="s">
        <v>50</v>
      </c>
      <c r="B6" s="16" t="s">
        <v>792</v>
      </c>
      <c r="C6" s="16" t="s">
        <v>792</v>
      </c>
      <c r="D6" s="16" t="s">
        <v>792</v>
      </c>
      <c r="E6" s="16" t="s">
        <v>792</v>
      </c>
      <c r="F6" s="16" t="s">
        <v>792</v>
      </c>
      <c r="G6" s="16" t="s">
        <v>792</v>
      </c>
      <c r="H6" s="16" t="s">
        <v>792</v>
      </c>
      <c r="I6" s="16" t="s">
        <v>792</v>
      </c>
      <c r="J6" s="16" t="s">
        <v>792</v>
      </c>
      <c r="K6" s="16" t="s">
        <v>792</v>
      </c>
      <c r="L6" s="16" t="s">
        <v>792</v>
      </c>
      <c r="M6" s="16" t="s">
        <v>792</v>
      </c>
      <c r="N6" s="16" t="s">
        <v>792</v>
      </c>
      <c r="O6" s="16" t="s">
        <v>792</v>
      </c>
      <c r="P6" s="16" t="s">
        <v>792</v>
      </c>
      <c r="Q6" s="16" t="s">
        <v>792</v>
      </c>
      <c r="R6" s="16" t="s">
        <v>792</v>
      </c>
      <c r="S6" s="16" t="s">
        <v>792</v>
      </c>
      <c r="T6" s="16" t="s">
        <v>792</v>
      </c>
      <c r="U6" s="16" t="s">
        <v>792</v>
      </c>
      <c r="V6" s="16" t="s">
        <v>792</v>
      </c>
      <c r="W6" s="16" t="s">
        <v>792</v>
      </c>
      <c r="X6" s="16" t="s">
        <v>792</v>
      </c>
      <c r="Y6" s="16" t="s">
        <v>792</v>
      </c>
      <c r="Z6" s="16" t="s">
        <v>792</v>
      </c>
      <c r="AA6" s="16" t="s">
        <v>792</v>
      </c>
      <c r="AB6" s="16" t="s">
        <v>792</v>
      </c>
      <c r="AC6" s="16" t="s">
        <v>792</v>
      </c>
      <c r="AD6" s="16" t="s">
        <v>792</v>
      </c>
      <c r="AE6" s="16" t="s">
        <v>792</v>
      </c>
    </row>
    <row r="7" spans="1:31" s="11" customFormat="1" ht="30" x14ac:dyDescent="0.25">
      <c r="A7" s="15" t="s">
        <v>51</v>
      </c>
      <c r="B7" s="16" t="s">
        <v>862</v>
      </c>
      <c r="C7" s="16" t="s">
        <v>792</v>
      </c>
      <c r="D7" s="16" t="s">
        <v>792</v>
      </c>
      <c r="E7" s="16" t="s">
        <v>792</v>
      </c>
      <c r="F7" s="16" t="s">
        <v>792</v>
      </c>
      <c r="G7" s="16" t="s">
        <v>792</v>
      </c>
      <c r="H7" s="16" t="s">
        <v>792</v>
      </c>
      <c r="I7" s="16" t="s">
        <v>792</v>
      </c>
      <c r="J7" s="16" t="s">
        <v>792</v>
      </c>
      <c r="K7" s="16" t="s">
        <v>792</v>
      </c>
      <c r="L7" s="16" t="s">
        <v>792</v>
      </c>
      <c r="M7" s="16" t="s">
        <v>792</v>
      </c>
      <c r="N7" s="16" t="s">
        <v>792</v>
      </c>
      <c r="O7" s="16" t="s">
        <v>792</v>
      </c>
      <c r="P7" s="16" t="s">
        <v>792</v>
      </c>
      <c r="Q7" s="16" t="s">
        <v>792</v>
      </c>
      <c r="R7" s="16" t="s">
        <v>792</v>
      </c>
      <c r="S7" s="16" t="s">
        <v>792</v>
      </c>
      <c r="T7" s="16" t="s">
        <v>792</v>
      </c>
      <c r="U7" s="16" t="s">
        <v>792</v>
      </c>
      <c r="V7" s="16" t="s">
        <v>792</v>
      </c>
      <c r="W7" s="16" t="s">
        <v>792</v>
      </c>
      <c r="X7" s="16" t="s">
        <v>792</v>
      </c>
      <c r="Y7" s="16" t="s">
        <v>792</v>
      </c>
      <c r="Z7" s="16" t="s">
        <v>792</v>
      </c>
      <c r="AA7" s="16" t="s">
        <v>792</v>
      </c>
      <c r="AB7" s="16" t="s">
        <v>792</v>
      </c>
      <c r="AC7" s="16" t="s">
        <v>792</v>
      </c>
      <c r="AD7" s="16" t="s">
        <v>792</v>
      </c>
      <c r="AE7" s="16" t="s">
        <v>792</v>
      </c>
    </row>
    <row r="8" spans="1:31" s="11" customFormat="1" ht="30" x14ac:dyDescent="0.25">
      <c r="A8" s="15" t="s">
        <v>52</v>
      </c>
      <c r="B8" s="16" t="s">
        <v>863</v>
      </c>
      <c r="C8" s="16" t="s">
        <v>792</v>
      </c>
      <c r="D8" s="16" t="s">
        <v>792</v>
      </c>
      <c r="E8" s="16" t="s">
        <v>792</v>
      </c>
      <c r="F8" s="16" t="s">
        <v>792</v>
      </c>
      <c r="G8" s="16" t="s">
        <v>792</v>
      </c>
      <c r="H8" s="16" t="s">
        <v>792</v>
      </c>
      <c r="I8" s="16" t="s">
        <v>792</v>
      </c>
      <c r="J8" s="16" t="s">
        <v>792</v>
      </c>
      <c r="K8" s="16" t="s">
        <v>792</v>
      </c>
      <c r="L8" s="16" t="s">
        <v>792</v>
      </c>
      <c r="M8" s="16" t="s">
        <v>792</v>
      </c>
      <c r="N8" s="16" t="s">
        <v>792</v>
      </c>
      <c r="O8" s="16" t="s">
        <v>792</v>
      </c>
      <c r="P8" s="16" t="s">
        <v>792</v>
      </c>
      <c r="Q8" s="16" t="s">
        <v>792</v>
      </c>
      <c r="R8" s="16" t="s">
        <v>792</v>
      </c>
      <c r="S8" s="16" t="s">
        <v>792</v>
      </c>
      <c r="T8" s="16" t="s">
        <v>792</v>
      </c>
      <c r="U8" s="16" t="s">
        <v>792</v>
      </c>
      <c r="V8" s="16" t="s">
        <v>792</v>
      </c>
      <c r="W8" s="16" t="s">
        <v>792</v>
      </c>
      <c r="X8" s="16" t="s">
        <v>792</v>
      </c>
      <c r="Y8" s="16" t="s">
        <v>792</v>
      </c>
      <c r="Z8" s="16" t="s">
        <v>792</v>
      </c>
      <c r="AA8" s="16" t="s">
        <v>792</v>
      </c>
      <c r="AB8" s="16" t="s">
        <v>792</v>
      </c>
      <c r="AC8" s="16" t="s">
        <v>792</v>
      </c>
      <c r="AD8" s="16" t="s">
        <v>792</v>
      </c>
      <c r="AE8" s="16" t="s">
        <v>792</v>
      </c>
    </row>
    <row r="9" spans="1:31" s="11" customFormat="1" ht="30" x14ac:dyDescent="0.25">
      <c r="A9" s="15" t="s">
        <v>54</v>
      </c>
      <c r="B9" s="16" t="s">
        <v>55</v>
      </c>
      <c r="C9" s="16" t="s">
        <v>792</v>
      </c>
      <c r="D9" s="16" t="s">
        <v>792</v>
      </c>
      <c r="E9" s="16" t="s">
        <v>792</v>
      </c>
      <c r="F9" s="16" t="s">
        <v>792</v>
      </c>
      <c r="G9" s="16" t="s">
        <v>792</v>
      </c>
      <c r="H9" s="16" t="s">
        <v>792</v>
      </c>
      <c r="I9" s="16" t="s">
        <v>792</v>
      </c>
      <c r="J9" s="16" t="s">
        <v>792</v>
      </c>
      <c r="K9" s="16" t="s">
        <v>792</v>
      </c>
      <c r="L9" s="16" t="s">
        <v>792</v>
      </c>
      <c r="M9" s="16" t="s">
        <v>792</v>
      </c>
      <c r="N9" s="16" t="s">
        <v>792</v>
      </c>
      <c r="O9" s="16" t="s">
        <v>792</v>
      </c>
      <c r="P9" s="16" t="s">
        <v>792</v>
      </c>
      <c r="Q9" s="16" t="s">
        <v>792</v>
      </c>
      <c r="R9" s="16" t="s">
        <v>792</v>
      </c>
      <c r="S9" s="16" t="s">
        <v>792</v>
      </c>
      <c r="T9" s="16" t="s">
        <v>792</v>
      </c>
      <c r="U9" s="16" t="s">
        <v>792</v>
      </c>
      <c r="V9" s="16" t="s">
        <v>792</v>
      </c>
      <c r="W9" s="16" t="s">
        <v>792</v>
      </c>
      <c r="X9" s="16" t="s">
        <v>792</v>
      </c>
      <c r="Y9" s="16" t="s">
        <v>792</v>
      </c>
      <c r="Z9" s="16" t="s">
        <v>792</v>
      </c>
      <c r="AA9" s="16" t="s">
        <v>792</v>
      </c>
      <c r="AB9" s="16" t="s">
        <v>792</v>
      </c>
      <c r="AC9" s="16" t="s">
        <v>792</v>
      </c>
      <c r="AD9" s="16" t="s">
        <v>792</v>
      </c>
      <c r="AE9" s="16" t="s">
        <v>792</v>
      </c>
    </row>
    <row r="10" spans="1:31" s="1" customFormat="1" x14ac:dyDescent="0.25">
      <c r="A10" s="18" t="s">
        <v>56</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s="11" customFormat="1" ht="39.950000000000003" customHeight="1" x14ac:dyDescent="0.25">
      <c r="A11" s="2" t="s">
        <v>57</v>
      </c>
      <c r="B11" s="2" t="s">
        <v>58</v>
      </c>
      <c r="C11" s="2" t="s">
        <v>59</v>
      </c>
      <c r="D11" s="2" t="s">
        <v>60</v>
      </c>
      <c r="E11" s="2" t="s">
        <v>61</v>
      </c>
      <c r="F11" s="2" t="s">
        <v>62</v>
      </c>
      <c r="G11" s="2" t="s">
        <v>63</v>
      </c>
      <c r="H11" s="2" t="s">
        <v>64</v>
      </c>
      <c r="I11" s="2" t="s">
        <v>65</v>
      </c>
      <c r="J11" s="2" t="s">
        <v>66</v>
      </c>
      <c r="K11" s="2" t="s">
        <v>67</v>
      </c>
      <c r="L11" s="2" t="s">
        <v>68</v>
      </c>
      <c r="M11" s="2" t="s">
        <v>69</v>
      </c>
      <c r="N11" s="2" t="s">
        <v>70</v>
      </c>
      <c r="O11" s="2" t="s">
        <v>71</v>
      </c>
      <c r="P11" s="2" t="s">
        <v>72</v>
      </c>
      <c r="Q11" s="2" t="s">
        <v>73</v>
      </c>
      <c r="R11" s="2" t="s">
        <v>74</v>
      </c>
      <c r="S11" s="2" t="s">
        <v>75</v>
      </c>
      <c r="T11" s="2" t="s">
        <v>76</v>
      </c>
      <c r="U11" s="2" t="s">
        <v>795</v>
      </c>
      <c r="V11" s="2" t="s">
        <v>796</v>
      </c>
      <c r="W11" s="2" t="s">
        <v>797</v>
      </c>
      <c r="X11" s="2" t="s">
        <v>80</v>
      </c>
      <c r="Y11" s="2" t="s">
        <v>81</v>
      </c>
      <c r="Z11" s="2" t="s">
        <v>82</v>
      </c>
      <c r="AA11" s="2" t="s">
        <v>83</v>
      </c>
      <c r="AB11" s="2" t="s">
        <v>84</v>
      </c>
      <c r="AC11" s="2" t="s">
        <v>85</v>
      </c>
      <c r="AD11" s="2" t="s">
        <v>86</v>
      </c>
      <c r="AE11" s="2" t="s">
        <v>87</v>
      </c>
    </row>
    <row r="12" spans="1:31" s="1" customFormat="1" ht="45" x14ac:dyDescent="0.25">
      <c r="A12" s="1">
        <v>1</v>
      </c>
      <c r="B12" s="1" t="s">
        <v>862</v>
      </c>
      <c r="C12" s="1" t="s">
        <v>792</v>
      </c>
      <c r="D12" s="1" t="s">
        <v>792</v>
      </c>
      <c r="E12" s="1" t="s">
        <v>792</v>
      </c>
      <c r="H12" s="1" t="s">
        <v>90</v>
      </c>
      <c r="J12" s="1" t="s">
        <v>792</v>
      </c>
      <c r="L12" s="1" t="s">
        <v>792</v>
      </c>
      <c r="M12" s="1" t="s">
        <v>792</v>
      </c>
      <c r="N12" s="1" t="s">
        <v>792</v>
      </c>
      <c r="O12" s="1" t="s">
        <v>117</v>
      </c>
      <c r="P12" s="1" t="s">
        <v>117</v>
      </c>
      <c r="Q12" s="1" t="s">
        <v>91</v>
      </c>
      <c r="R12" s="1" t="s">
        <v>90</v>
      </c>
      <c r="S12" s="1" t="s">
        <v>835</v>
      </c>
      <c r="T12" s="1" t="s">
        <v>810</v>
      </c>
      <c r="U12" s="1" t="s">
        <v>47</v>
      </c>
      <c r="V12" s="1" t="s">
        <v>47</v>
      </c>
      <c r="W12" s="1" t="s">
        <v>792</v>
      </c>
      <c r="X12" s="1" t="s">
        <v>792</v>
      </c>
      <c r="Y12" s="1" t="s">
        <v>792</v>
      </c>
      <c r="Z12" s="1" t="s">
        <v>792</v>
      </c>
      <c r="AA12" s="1" t="s">
        <v>792</v>
      </c>
      <c r="AB12" s="1" t="s">
        <v>792</v>
      </c>
      <c r="AC12" s="1" t="s">
        <v>792</v>
      </c>
      <c r="AD12" s="1" t="s">
        <v>792</v>
      </c>
      <c r="AE12" s="1" t="s">
        <v>792</v>
      </c>
    </row>
    <row r="13" spans="1:31" s="1" customFormat="1" x14ac:dyDescent="0.25">
      <c r="A13" s="19" t="s">
        <v>111</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row>
    <row r="14" spans="1:31" s="11" customFormat="1" ht="39.950000000000003" customHeight="1" x14ac:dyDescent="0.25">
      <c r="A14" s="2" t="s">
        <v>57</v>
      </c>
      <c r="B14" s="2" t="s">
        <v>58</v>
      </c>
      <c r="C14" s="2" t="s">
        <v>59</v>
      </c>
      <c r="D14" s="2" t="s">
        <v>60</v>
      </c>
      <c r="E14" s="2" t="s">
        <v>61</v>
      </c>
      <c r="F14" s="2" t="s">
        <v>62</v>
      </c>
      <c r="G14" s="2" t="s">
        <v>63</v>
      </c>
      <c r="H14" s="2" t="s">
        <v>64</v>
      </c>
      <c r="I14" s="2" t="s">
        <v>65</v>
      </c>
      <c r="J14" s="2" t="s">
        <v>66</v>
      </c>
      <c r="K14" s="2" t="s">
        <v>67</v>
      </c>
      <c r="L14" s="2" t="s">
        <v>68</v>
      </c>
      <c r="M14" s="2" t="s">
        <v>69</v>
      </c>
      <c r="N14" s="2" t="s">
        <v>70</v>
      </c>
      <c r="O14" s="2" t="s">
        <v>71</v>
      </c>
      <c r="P14" s="2" t="s">
        <v>72</v>
      </c>
      <c r="Q14" s="2" t="s">
        <v>73</v>
      </c>
      <c r="R14" s="2" t="s">
        <v>74</v>
      </c>
      <c r="S14" s="2" t="s">
        <v>75</v>
      </c>
      <c r="T14" s="2" t="s">
        <v>76</v>
      </c>
      <c r="U14" s="2" t="s">
        <v>795</v>
      </c>
      <c r="V14" s="2" t="s">
        <v>796</v>
      </c>
      <c r="W14" s="2" t="s">
        <v>797</v>
      </c>
      <c r="X14" s="2" t="s">
        <v>80</v>
      </c>
      <c r="Y14" s="2" t="s">
        <v>81</v>
      </c>
      <c r="Z14" s="2" t="s">
        <v>82</v>
      </c>
      <c r="AA14" s="2" t="s">
        <v>83</v>
      </c>
      <c r="AB14" s="2" t="s">
        <v>84</v>
      </c>
      <c r="AC14" s="2" t="s">
        <v>85</v>
      </c>
      <c r="AD14" s="2" t="s">
        <v>86</v>
      </c>
      <c r="AE14" s="2" t="s">
        <v>87</v>
      </c>
    </row>
    <row r="15" spans="1:31" s="11" customFormat="1" ht="30" x14ac:dyDescent="0.25">
      <c r="A15" s="11">
        <v>1</v>
      </c>
      <c r="B15" s="11" t="s">
        <v>860</v>
      </c>
      <c r="C15" s="11" t="s">
        <v>792</v>
      </c>
      <c r="D15" s="11" t="s">
        <v>792</v>
      </c>
      <c r="E15" s="11" t="s">
        <v>792</v>
      </c>
      <c r="F15" s="11" t="s">
        <v>792</v>
      </c>
      <c r="G15" s="11" t="s">
        <v>792</v>
      </c>
      <c r="H15" s="11" t="s">
        <v>792</v>
      </c>
      <c r="I15" s="11" t="s">
        <v>792</v>
      </c>
      <c r="J15" s="11" t="s">
        <v>792</v>
      </c>
      <c r="K15" s="11" t="s">
        <v>792</v>
      </c>
      <c r="L15" s="11" t="s">
        <v>792</v>
      </c>
      <c r="M15" s="11" t="s">
        <v>792</v>
      </c>
      <c r="N15" s="11" t="s">
        <v>792</v>
      </c>
      <c r="O15" s="11" t="s">
        <v>348</v>
      </c>
      <c r="P15" s="11" t="s">
        <v>348</v>
      </c>
      <c r="Q15" s="11" t="s">
        <v>97</v>
      </c>
      <c r="R15" s="11" t="s">
        <v>90</v>
      </c>
      <c r="S15" s="11" t="s">
        <v>836</v>
      </c>
      <c r="T15" s="11" t="s">
        <v>811</v>
      </c>
      <c r="U15" s="11" t="s">
        <v>47</v>
      </c>
      <c r="V15" s="11" t="s">
        <v>47</v>
      </c>
      <c r="W15" s="11">
        <v>-1</v>
      </c>
      <c r="X15" s="11">
        <v>-1</v>
      </c>
      <c r="Y15" s="11" t="s">
        <v>792</v>
      </c>
      <c r="Z15" s="11" t="s">
        <v>792</v>
      </c>
      <c r="AA15" s="11" t="s">
        <v>792</v>
      </c>
      <c r="AB15" s="11" t="s">
        <v>792</v>
      </c>
      <c r="AC15" s="11" t="s">
        <v>792</v>
      </c>
      <c r="AD15" s="11" t="s">
        <v>792</v>
      </c>
      <c r="AE15" s="11" t="s">
        <v>90</v>
      </c>
    </row>
    <row r="16" spans="1:31" s="11" customFormat="1" x14ac:dyDescent="0.25">
      <c r="A16" s="11">
        <v>2</v>
      </c>
      <c r="B16" s="11" t="s">
        <v>860</v>
      </c>
      <c r="C16" s="11" t="s">
        <v>792</v>
      </c>
      <c r="D16" s="11" t="s">
        <v>792</v>
      </c>
      <c r="E16" s="11" t="s">
        <v>792</v>
      </c>
      <c r="F16" s="11" t="s">
        <v>792</v>
      </c>
      <c r="G16" s="11" t="s">
        <v>792</v>
      </c>
      <c r="H16" s="11" t="s">
        <v>792</v>
      </c>
      <c r="I16" s="11" t="s">
        <v>792</v>
      </c>
      <c r="J16" s="11" t="s">
        <v>792</v>
      </c>
      <c r="K16" s="11" t="s">
        <v>792</v>
      </c>
      <c r="L16" s="11" t="s">
        <v>792</v>
      </c>
      <c r="M16" s="11" t="s">
        <v>792</v>
      </c>
      <c r="N16" s="11" t="s">
        <v>792</v>
      </c>
      <c r="O16" s="28" t="s">
        <v>117</v>
      </c>
      <c r="P16" s="28" t="s">
        <v>117</v>
      </c>
      <c r="Q16" s="11" t="s">
        <v>91</v>
      </c>
      <c r="R16" s="11" t="s">
        <v>90</v>
      </c>
      <c r="S16" s="28" t="s">
        <v>873</v>
      </c>
      <c r="T16" s="28" t="s">
        <v>873</v>
      </c>
      <c r="U16" s="11" t="s">
        <v>47</v>
      </c>
      <c r="V16" s="11" t="s">
        <v>47</v>
      </c>
      <c r="W16" s="11">
        <v>-1</v>
      </c>
      <c r="X16" s="11">
        <v>-1</v>
      </c>
      <c r="Y16" s="11" t="s">
        <v>792</v>
      </c>
      <c r="Z16" s="11" t="s">
        <v>792</v>
      </c>
      <c r="AA16" s="11" t="s">
        <v>792</v>
      </c>
      <c r="AB16" s="11" t="s">
        <v>792</v>
      </c>
      <c r="AC16" s="11" t="s">
        <v>792</v>
      </c>
      <c r="AD16" s="11" t="s">
        <v>792</v>
      </c>
      <c r="AE16" s="11" t="s">
        <v>90</v>
      </c>
    </row>
    <row r="17" spans="1:31" s="11" customFormat="1" x14ac:dyDescent="0.25">
      <c r="A17" s="11">
        <v>3</v>
      </c>
      <c r="B17" s="11" t="s">
        <v>860</v>
      </c>
      <c r="C17" s="11" t="s">
        <v>792</v>
      </c>
      <c r="D17" s="11" t="s">
        <v>792</v>
      </c>
      <c r="E17" s="11" t="s">
        <v>792</v>
      </c>
      <c r="F17" s="11" t="s">
        <v>792</v>
      </c>
      <c r="G17" s="11" t="s">
        <v>792</v>
      </c>
      <c r="H17" s="11" t="s">
        <v>792</v>
      </c>
      <c r="I17" s="11" t="s">
        <v>792</v>
      </c>
      <c r="J17" s="11" t="s">
        <v>792</v>
      </c>
      <c r="K17" s="11" t="s">
        <v>792</v>
      </c>
      <c r="L17" s="11" t="s">
        <v>792</v>
      </c>
      <c r="M17" s="11" t="s">
        <v>792</v>
      </c>
      <c r="N17" s="11" t="s">
        <v>792</v>
      </c>
      <c r="O17" s="28" t="s">
        <v>88</v>
      </c>
      <c r="P17" s="28" t="s">
        <v>88</v>
      </c>
      <c r="Q17" s="11" t="s">
        <v>91</v>
      </c>
      <c r="R17" s="11" t="s">
        <v>90</v>
      </c>
      <c r="S17" s="10" t="s">
        <v>864</v>
      </c>
      <c r="T17" s="10" t="s">
        <v>864</v>
      </c>
      <c r="U17" s="11" t="s">
        <v>47</v>
      </c>
      <c r="V17" s="11" t="s">
        <v>47</v>
      </c>
      <c r="W17" s="11">
        <v>-1</v>
      </c>
      <c r="X17" s="11">
        <v>-1</v>
      </c>
      <c r="Y17" s="11" t="s">
        <v>792</v>
      </c>
      <c r="Z17" s="11" t="s">
        <v>792</v>
      </c>
      <c r="AA17" s="11" t="s">
        <v>792</v>
      </c>
      <c r="AB17" s="11" t="s">
        <v>792</v>
      </c>
      <c r="AC17" s="11" t="s">
        <v>792</v>
      </c>
      <c r="AD17" s="11" t="s">
        <v>792</v>
      </c>
      <c r="AE17" s="11" t="s">
        <v>90</v>
      </c>
    </row>
    <row r="18" spans="1:31" s="11" customFormat="1" x14ac:dyDescent="0.25">
      <c r="A18" s="11">
        <v>4</v>
      </c>
      <c r="B18" s="11" t="s">
        <v>860</v>
      </c>
      <c r="C18" s="11" t="s">
        <v>792</v>
      </c>
      <c r="D18" s="11" t="s">
        <v>792</v>
      </c>
      <c r="E18" s="11" t="s">
        <v>792</v>
      </c>
      <c r="F18" s="11" t="s">
        <v>792</v>
      </c>
      <c r="G18" s="11" t="s">
        <v>792</v>
      </c>
      <c r="H18" s="11" t="s">
        <v>792</v>
      </c>
      <c r="I18" s="11" t="s">
        <v>792</v>
      </c>
      <c r="J18" s="11" t="s">
        <v>792</v>
      </c>
      <c r="K18" s="11" t="s">
        <v>792</v>
      </c>
      <c r="L18" s="11" t="s">
        <v>792</v>
      </c>
      <c r="M18" s="11" t="s">
        <v>792</v>
      </c>
      <c r="N18" s="11" t="s">
        <v>792</v>
      </c>
      <c r="O18" s="28" t="s">
        <v>92</v>
      </c>
      <c r="P18" s="28" t="s">
        <v>92</v>
      </c>
      <c r="Q18" s="11" t="s">
        <v>93</v>
      </c>
      <c r="R18" s="11" t="s">
        <v>90</v>
      </c>
      <c r="S18" s="10" t="s">
        <v>865</v>
      </c>
      <c r="T18" s="10" t="s">
        <v>865</v>
      </c>
      <c r="U18" s="11" t="s">
        <v>47</v>
      </c>
      <c r="V18" s="11" t="s">
        <v>47</v>
      </c>
      <c r="W18" s="11">
        <v>-1</v>
      </c>
      <c r="X18" s="11">
        <v>-1</v>
      </c>
      <c r="Y18" s="11" t="s">
        <v>792</v>
      </c>
      <c r="Z18" s="11" t="s">
        <v>792</v>
      </c>
      <c r="AA18" s="11" t="s">
        <v>792</v>
      </c>
      <c r="AB18" s="11" t="s">
        <v>792</v>
      </c>
      <c r="AC18" s="11" t="s">
        <v>792</v>
      </c>
      <c r="AD18" s="11" t="s">
        <v>792</v>
      </c>
      <c r="AE18" s="11" t="s">
        <v>90</v>
      </c>
    </row>
    <row r="19" spans="1:31" s="11" customFormat="1" x14ac:dyDescent="0.25">
      <c r="A19" s="11">
        <v>5</v>
      </c>
      <c r="B19" s="11" t="s">
        <v>860</v>
      </c>
      <c r="C19" s="11" t="s">
        <v>792</v>
      </c>
      <c r="D19" s="11" t="s">
        <v>792</v>
      </c>
      <c r="E19" s="11" t="s">
        <v>792</v>
      </c>
      <c r="F19" s="11" t="s">
        <v>792</v>
      </c>
      <c r="G19" s="11" t="s">
        <v>792</v>
      </c>
      <c r="H19" s="11" t="s">
        <v>792</v>
      </c>
      <c r="I19" s="11" t="s">
        <v>792</v>
      </c>
      <c r="J19" s="11" t="s">
        <v>792</v>
      </c>
      <c r="K19" s="11" t="s">
        <v>792</v>
      </c>
      <c r="L19" s="11" t="s">
        <v>792</v>
      </c>
      <c r="M19" s="11" t="s">
        <v>792</v>
      </c>
      <c r="N19" s="11" t="s">
        <v>792</v>
      </c>
      <c r="O19" s="28" t="s">
        <v>101</v>
      </c>
      <c r="P19" s="28" t="s">
        <v>101</v>
      </c>
      <c r="Q19" s="11" t="s">
        <v>91</v>
      </c>
      <c r="R19" s="11" t="s">
        <v>47</v>
      </c>
      <c r="S19" s="10" t="s">
        <v>812</v>
      </c>
      <c r="T19" s="10" t="s">
        <v>812</v>
      </c>
      <c r="U19" s="11" t="s">
        <v>47</v>
      </c>
      <c r="V19" s="11" t="s">
        <v>47</v>
      </c>
      <c r="W19" s="11">
        <v>-1</v>
      </c>
      <c r="X19" s="11">
        <v>-1</v>
      </c>
      <c r="Y19" s="11" t="s">
        <v>792</v>
      </c>
      <c r="Z19" s="11" t="s">
        <v>792</v>
      </c>
      <c r="AA19" s="11" t="s">
        <v>792</v>
      </c>
      <c r="AB19" s="11" t="s">
        <v>792</v>
      </c>
      <c r="AC19" s="11" t="s">
        <v>792</v>
      </c>
      <c r="AD19" s="11" t="s">
        <v>792</v>
      </c>
      <c r="AE19" s="11" t="s">
        <v>90</v>
      </c>
    </row>
    <row r="20" spans="1:31" s="11" customFormat="1" ht="30" x14ac:dyDescent="0.25">
      <c r="A20" s="11">
        <v>6</v>
      </c>
      <c r="B20" s="11" t="s">
        <v>860</v>
      </c>
      <c r="C20" s="11" t="s">
        <v>792</v>
      </c>
      <c r="D20" s="11" t="s">
        <v>792</v>
      </c>
      <c r="E20" s="11" t="s">
        <v>792</v>
      </c>
      <c r="F20" s="11" t="s">
        <v>792</v>
      </c>
      <c r="G20" s="11" t="s">
        <v>792</v>
      </c>
      <c r="H20" s="11" t="s">
        <v>792</v>
      </c>
      <c r="I20" s="11" t="s">
        <v>792</v>
      </c>
      <c r="J20" s="11" t="s">
        <v>792</v>
      </c>
      <c r="K20" s="11" t="s">
        <v>792</v>
      </c>
      <c r="L20" s="11" t="s">
        <v>792</v>
      </c>
      <c r="M20" s="11" t="s">
        <v>792</v>
      </c>
      <c r="N20" s="11" t="s">
        <v>792</v>
      </c>
      <c r="O20" s="28" t="s">
        <v>102</v>
      </c>
      <c r="P20" s="28" t="s">
        <v>102</v>
      </c>
      <c r="Q20" s="11" t="s">
        <v>97</v>
      </c>
      <c r="R20" s="11" t="s">
        <v>47</v>
      </c>
      <c r="S20" s="10" t="s">
        <v>866</v>
      </c>
      <c r="T20" s="10" t="s">
        <v>866</v>
      </c>
      <c r="U20" s="11" t="s">
        <v>47</v>
      </c>
      <c r="V20" s="11" t="s">
        <v>47</v>
      </c>
      <c r="W20" s="11">
        <v>-1</v>
      </c>
      <c r="X20" s="11">
        <v>-1</v>
      </c>
      <c r="Y20" s="11" t="s">
        <v>792</v>
      </c>
      <c r="Z20" s="11" t="s">
        <v>792</v>
      </c>
      <c r="AA20" s="11" t="s">
        <v>792</v>
      </c>
      <c r="AB20" s="11" t="s">
        <v>792</v>
      </c>
      <c r="AC20" s="11" t="s">
        <v>792</v>
      </c>
      <c r="AD20" s="11" t="s">
        <v>792</v>
      </c>
      <c r="AE20" s="11" t="s">
        <v>90</v>
      </c>
    </row>
    <row r="21" spans="1:31" s="11" customFormat="1" x14ac:dyDescent="0.25">
      <c r="A21" s="11">
        <v>7</v>
      </c>
      <c r="B21" s="11" t="s">
        <v>860</v>
      </c>
      <c r="C21" s="11" t="s">
        <v>792</v>
      </c>
      <c r="D21" s="11" t="s">
        <v>792</v>
      </c>
      <c r="E21" s="11" t="s">
        <v>792</v>
      </c>
      <c r="F21" s="11" t="s">
        <v>792</v>
      </c>
      <c r="G21" s="11" t="s">
        <v>792</v>
      </c>
      <c r="H21" s="11" t="s">
        <v>792</v>
      </c>
      <c r="I21" s="11" t="s">
        <v>792</v>
      </c>
      <c r="J21" s="11" t="s">
        <v>792</v>
      </c>
      <c r="K21" s="11" t="s">
        <v>792</v>
      </c>
      <c r="L21" s="11" t="s">
        <v>792</v>
      </c>
      <c r="M21" s="11" t="s">
        <v>792</v>
      </c>
      <c r="N21" s="11" t="s">
        <v>792</v>
      </c>
      <c r="O21" s="28" t="s">
        <v>859</v>
      </c>
      <c r="P21" s="28" t="s">
        <v>859</v>
      </c>
      <c r="Q21" s="11" t="s">
        <v>91</v>
      </c>
      <c r="R21" s="11" t="s">
        <v>47</v>
      </c>
      <c r="S21" s="10" t="s">
        <v>867</v>
      </c>
      <c r="T21" s="10" t="s">
        <v>867</v>
      </c>
      <c r="U21" s="11" t="s">
        <v>47</v>
      </c>
      <c r="V21" s="11" t="s">
        <v>47</v>
      </c>
      <c r="W21" s="11">
        <v>-1</v>
      </c>
      <c r="X21" s="11">
        <v>-1</v>
      </c>
      <c r="Y21" s="11" t="s">
        <v>792</v>
      </c>
      <c r="Z21" s="11" t="s">
        <v>792</v>
      </c>
      <c r="AA21" s="11" t="s">
        <v>792</v>
      </c>
      <c r="AB21" s="11" t="s">
        <v>792</v>
      </c>
      <c r="AC21" s="11" t="s">
        <v>792</v>
      </c>
      <c r="AD21" s="11" t="s">
        <v>792</v>
      </c>
      <c r="AE21" s="11" t="s">
        <v>90</v>
      </c>
    </row>
    <row r="22" spans="1:31" s="11" customFormat="1" ht="30" x14ac:dyDescent="0.25">
      <c r="A22" s="11">
        <v>8</v>
      </c>
      <c r="B22" s="11" t="s">
        <v>860</v>
      </c>
      <c r="C22" s="11" t="s">
        <v>792</v>
      </c>
      <c r="D22" s="11" t="s">
        <v>792</v>
      </c>
      <c r="E22" s="11" t="s">
        <v>792</v>
      </c>
      <c r="F22" s="11" t="s">
        <v>792</v>
      </c>
      <c r="G22" s="11" t="s">
        <v>792</v>
      </c>
      <c r="H22" s="11" t="s">
        <v>792</v>
      </c>
      <c r="I22" s="11" t="s">
        <v>792</v>
      </c>
      <c r="J22" s="11" t="s">
        <v>792</v>
      </c>
      <c r="K22" s="11" t="s">
        <v>792</v>
      </c>
      <c r="L22" s="11" t="s">
        <v>792</v>
      </c>
      <c r="M22" s="11" t="s">
        <v>792</v>
      </c>
      <c r="N22" s="11" t="s">
        <v>792</v>
      </c>
      <c r="O22" s="28" t="s">
        <v>104</v>
      </c>
      <c r="P22" s="28" t="s">
        <v>104</v>
      </c>
      <c r="Q22" s="11" t="s">
        <v>91</v>
      </c>
      <c r="R22" s="11" t="s">
        <v>47</v>
      </c>
      <c r="S22" s="10" t="s">
        <v>868</v>
      </c>
      <c r="T22" s="10" t="s">
        <v>868</v>
      </c>
      <c r="U22" s="11" t="s">
        <v>47</v>
      </c>
      <c r="V22" s="11" t="s">
        <v>47</v>
      </c>
      <c r="W22" s="11">
        <v>-1</v>
      </c>
      <c r="X22" s="11">
        <v>-1</v>
      </c>
      <c r="Y22" s="11" t="s">
        <v>792</v>
      </c>
      <c r="Z22" s="11" t="s">
        <v>792</v>
      </c>
      <c r="AA22" s="11" t="s">
        <v>792</v>
      </c>
      <c r="AB22" s="11" t="s">
        <v>792</v>
      </c>
      <c r="AC22" s="11" t="s">
        <v>792</v>
      </c>
      <c r="AD22" s="11" t="s">
        <v>792</v>
      </c>
      <c r="AE22" s="11" t="s">
        <v>90</v>
      </c>
    </row>
    <row r="23" spans="1:31" s="11" customFormat="1" x14ac:dyDescent="0.25">
      <c r="A23" s="11">
        <v>9</v>
      </c>
      <c r="B23" s="11" t="s">
        <v>860</v>
      </c>
      <c r="C23" s="11" t="s">
        <v>792</v>
      </c>
      <c r="D23" s="11" t="s">
        <v>792</v>
      </c>
      <c r="E23" s="11" t="s">
        <v>792</v>
      </c>
      <c r="F23" s="11" t="s">
        <v>792</v>
      </c>
      <c r="G23" s="11" t="s">
        <v>792</v>
      </c>
      <c r="H23" s="11" t="s">
        <v>792</v>
      </c>
      <c r="I23" s="11" t="s">
        <v>792</v>
      </c>
      <c r="J23" s="11" t="s">
        <v>792</v>
      </c>
      <c r="K23" s="11" t="s">
        <v>792</v>
      </c>
      <c r="L23" s="11" t="s">
        <v>792</v>
      </c>
      <c r="M23" s="11" t="s">
        <v>792</v>
      </c>
      <c r="N23" s="11" t="s">
        <v>792</v>
      </c>
      <c r="O23" t="s">
        <v>94</v>
      </c>
      <c r="P23" t="s">
        <v>94</v>
      </c>
      <c r="Q23" s="11" t="s">
        <v>91</v>
      </c>
      <c r="R23" s="11" t="s">
        <v>47</v>
      </c>
      <c r="S23" t="s">
        <v>95</v>
      </c>
      <c r="T23" t="s">
        <v>95</v>
      </c>
      <c r="U23" s="11" t="s">
        <v>47</v>
      </c>
      <c r="V23" s="11" t="s">
        <v>47</v>
      </c>
      <c r="W23" s="11">
        <v>-1</v>
      </c>
      <c r="X23" s="11">
        <v>-1</v>
      </c>
      <c r="Y23" s="11" t="s">
        <v>792</v>
      </c>
      <c r="Z23" s="11" t="s">
        <v>792</v>
      </c>
      <c r="AA23" s="11" t="s">
        <v>792</v>
      </c>
      <c r="AB23" s="11" t="s">
        <v>792</v>
      </c>
      <c r="AC23" s="11" t="s">
        <v>792</v>
      </c>
      <c r="AD23" s="11" t="s">
        <v>792</v>
      </c>
      <c r="AE23" s="11" t="s">
        <v>90</v>
      </c>
    </row>
    <row r="24" spans="1:31" s="11" customFormat="1" x14ac:dyDescent="0.25">
      <c r="A24" s="11">
        <v>10</v>
      </c>
      <c r="B24" s="11" t="s">
        <v>860</v>
      </c>
      <c r="C24" s="11" t="s">
        <v>792</v>
      </c>
      <c r="D24" s="11" t="s">
        <v>792</v>
      </c>
      <c r="E24" s="11" t="s">
        <v>792</v>
      </c>
      <c r="F24" s="11" t="s">
        <v>792</v>
      </c>
      <c r="G24" s="11" t="s">
        <v>792</v>
      </c>
      <c r="H24" s="11" t="s">
        <v>792</v>
      </c>
      <c r="I24" s="11" t="s">
        <v>792</v>
      </c>
      <c r="J24" s="11" t="s">
        <v>792</v>
      </c>
      <c r="K24" s="11" t="s">
        <v>792</v>
      </c>
      <c r="L24" s="11" t="s">
        <v>792</v>
      </c>
      <c r="M24" s="11" t="s">
        <v>792</v>
      </c>
      <c r="N24" s="11" t="s">
        <v>792</v>
      </c>
      <c r="O24" s="28" t="s">
        <v>99</v>
      </c>
      <c r="P24" s="28" t="s">
        <v>99</v>
      </c>
      <c r="Q24" s="11" t="s">
        <v>97</v>
      </c>
      <c r="R24" s="11" t="s">
        <v>47</v>
      </c>
      <c r="S24" s="10" t="s">
        <v>100</v>
      </c>
      <c r="T24" s="10" t="s">
        <v>100</v>
      </c>
      <c r="U24" s="11" t="s">
        <v>47</v>
      </c>
      <c r="V24" s="11" t="s">
        <v>47</v>
      </c>
      <c r="W24" s="11">
        <v>-1</v>
      </c>
      <c r="X24" s="11">
        <v>-1</v>
      </c>
      <c r="Y24" s="11" t="s">
        <v>792</v>
      </c>
      <c r="Z24" s="11" t="s">
        <v>792</v>
      </c>
      <c r="AA24" s="11" t="s">
        <v>792</v>
      </c>
      <c r="AB24" s="11" t="s">
        <v>792</v>
      </c>
      <c r="AC24" s="11" t="s">
        <v>792</v>
      </c>
      <c r="AD24" s="11" t="s">
        <v>792</v>
      </c>
      <c r="AE24" s="11" t="s">
        <v>90</v>
      </c>
    </row>
    <row r="25" spans="1:31" s="11" customFormat="1" x14ac:dyDescent="0.25">
      <c r="A25" s="11">
        <v>11</v>
      </c>
      <c r="B25" s="11" t="s">
        <v>860</v>
      </c>
      <c r="C25" s="11" t="s">
        <v>792</v>
      </c>
      <c r="D25" s="11" t="s">
        <v>792</v>
      </c>
      <c r="E25" s="11" t="s">
        <v>792</v>
      </c>
      <c r="F25" s="11" t="s">
        <v>792</v>
      </c>
      <c r="G25" s="11" t="s">
        <v>792</v>
      </c>
      <c r="H25" s="11" t="s">
        <v>792</v>
      </c>
      <c r="I25" s="11" t="s">
        <v>792</v>
      </c>
      <c r="J25" s="11" t="s">
        <v>792</v>
      </c>
      <c r="K25" s="11" t="s">
        <v>792</v>
      </c>
      <c r="L25" s="11" t="s">
        <v>792</v>
      </c>
      <c r="M25" s="11" t="s">
        <v>792</v>
      </c>
      <c r="N25" s="11" t="s">
        <v>792</v>
      </c>
      <c r="O25" s="28" t="s">
        <v>844</v>
      </c>
      <c r="P25" s="28" t="s">
        <v>844</v>
      </c>
      <c r="Q25" s="11" t="s">
        <v>93</v>
      </c>
      <c r="R25" s="11" t="s">
        <v>47</v>
      </c>
      <c r="S25" s="10" t="s">
        <v>869</v>
      </c>
      <c r="T25" s="10" t="s">
        <v>869</v>
      </c>
      <c r="U25" s="11" t="s">
        <v>47</v>
      </c>
      <c r="V25" s="11" t="s">
        <v>47</v>
      </c>
      <c r="W25" s="11">
        <v>-1</v>
      </c>
      <c r="X25" s="11">
        <v>-1</v>
      </c>
      <c r="Y25" s="11" t="s">
        <v>792</v>
      </c>
      <c r="Z25" s="11" t="s">
        <v>792</v>
      </c>
      <c r="AA25" s="11" t="s">
        <v>792</v>
      </c>
      <c r="AB25" s="11" t="s">
        <v>792</v>
      </c>
      <c r="AC25" s="11" t="s">
        <v>792</v>
      </c>
      <c r="AD25" s="11" t="s">
        <v>792</v>
      </c>
      <c r="AE25" s="11" t="s">
        <v>90</v>
      </c>
    </row>
    <row r="26" spans="1:31" s="11" customFormat="1" x14ac:dyDescent="0.25">
      <c r="A26" s="11">
        <v>12</v>
      </c>
      <c r="B26" s="11" t="s">
        <v>860</v>
      </c>
      <c r="C26" s="11" t="s">
        <v>792</v>
      </c>
      <c r="D26" s="11" t="s">
        <v>792</v>
      </c>
      <c r="E26" s="11" t="s">
        <v>792</v>
      </c>
      <c r="F26" s="11" t="s">
        <v>792</v>
      </c>
      <c r="G26" s="11" t="s">
        <v>792</v>
      </c>
      <c r="H26" s="11" t="s">
        <v>792</v>
      </c>
      <c r="I26" s="11" t="s">
        <v>792</v>
      </c>
      <c r="J26" s="11" t="s">
        <v>792</v>
      </c>
      <c r="K26" s="11" t="s">
        <v>792</v>
      </c>
      <c r="L26" s="11" t="s">
        <v>792</v>
      </c>
      <c r="M26" s="11" t="s">
        <v>792</v>
      </c>
      <c r="N26" s="11" t="s">
        <v>792</v>
      </c>
      <c r="O26" s="28" t="s">
        <v>847</v>
      </c>
      <c r="P26" s="28" t="s">
        <v>847</v>
      </c>
      <c r="Q26" s="11" t="s">
        <v>91</v>
      </c>
      <c r="R26" s="11" t="s">
        <v>47</v>
      </c>
      <c r="S26" s="10" t="s">
        <v>870</v>
      </c>
      <c r="T26" s="10" t="s">
        <v>870</v>
      </c>
      <c r="U26" s="11" t="s">
        <v>47</v>
      </c>
      <c r="V26" s="11" t="s">
        <v>47</v>
      </c>
      <c r="W26" s="11">
        <v>-1</v>
      </c>
      <c r="X26" s="11">
        <v>-1</v>
      </c>
      <c r="Y26" s="11" t="s">
        <v>792</v>
      </c>
      <c r="Z26" s="11" t="s">
        <v>792</v>
      </c>
      <c r="AA26" s="11" t="s">
        <v>792</v>
      </c>
      <c r="AB26" s="11" t="s">
        <v>792</v>
      </c>
      <c r="AC26" s="11" t="s">
        <v>792</v>
      </c>
      <c r="AD26" s="11" t="s">
        <v>792</v>
      </c>
      <c r="AE26" s="11" t="s">
        <v>90</v>
      </c>
    </row>
    <row r="27" spans="1:31" s="11" customFormat="1" x14ac:dyDescent="0.25">
      <c r="A27" s="11">
        <v>13</v>
      </c>
      <c r="B27" s="11" t="s">
        <v>860</v>
      </c>
      <c r="C27" s="11" t="s">
        <v>792</v>
      </c>
      <c r="D27" s="11" t="s">
        <v>792</v>
      </c>
      <c r="E27" s="11" t="s">
        <v>792</v>
      </c>
      <c r="F27" s="11" t="s">
        <v>792</v>
      </c>
      <c r="G27" s="11" t="s">
        <v>792</v>
      </c>
      <c r="H27" s="11" t="s">
        <v>792</v>
      </c>
      <c r="I27" s="11" t="s">
        <v>792</v>
      </c>
      <c r="J27" s="11" t="s">
        <v>792</v>
      </c>
      <c r="K27" s="11" t="s">
        <v>792</v>
      </c>
      <c r="L27" s="11" t="s">
        <v>792</v>
      </c>
      <c r="M27" s="11" t="s">
        <v>792</v>
      </c>
      <c r="N27" s="11" t="s">
        <v>792</v>
      </c>
      <c r="O27" s="28" t="s">
        <v>109</v>
      </c>
      <c r="P27" s="28" t="s">
        <v>109</v>
      </c>
      <c r="Q27" s="11" t="s">
        <v>91</v>
      </c>
      <c r="R27" s="11" t="s">
        <v>47</v>
      </c>
      <c r="S27" s="10" t="s">
        <v>871</v>
      </c>
      <c r="T27" s="10" t="s">
        <v>871</v>
      </c>
      <c r="U27" s="11" t="s">
        <v>47</v>
      </c>
      <c r="V27" s="11" t="s">
        <v>47</v>
      </c>
      <c r="W27" s="11">
        <v>-1</v>
      </c>
      <c r="X27" s="11">
        <v>-1</v>
      </c>
      <c r="Y27" s="11" t="s">
        <v>792</v>
      </c>
      <c r="Z27" s="11" t="s">
        <v>792</v>
      </c>
      <c r="AA27" s="11" t="s">
        <v>792</v>
      </c>
      <c r="AB27" s="11" t="s">
        <v>792</v>
      </c>
      <c r="AC27" s="11" t="s">
        <v>792</v>
      </c>
      <c r="AD27" s="11" t="s">
        <v>792</v>
      </c>
      <c r="AE27" s="11" t="s">
        <v>90</v>
      </c>
    </row>
    <row r="28" spans="1:31" s="11" customFormat="1" x14ac:dyDescent="0.25">
      <c r="A28" s="11">
        <v>14</v>
      </c>
      <c r="B28" s="11" t="s">
        <v>860</v>
      </c>
      <c r="C28" s="11" t="s">
        <v>792</v>
      </c>
      <c r="D28" s="11" t="s">
        <v>792</v>
      </c>
      <c r="E28" s="11" t="s">
        <v>792</v>
      </c>
      <c r="F28" s="11" t="s">
        <v>792</v>
      </c>
      <c r="G28" s="11" t="s">
        <v>792</v>
      </c>
      <c r="H28" s="11" t="s">
        <v>792</v>
      </c>
      <c r="I28" s="11" t="s">
        <v>792</v>
      </c>
      <c r="J28" s="11" t="s">
        <v>792</v>
      </c>
      <c r="K28" s="11" t="s">
        <v>792</v>
      </c>
      <c r="L28" s="11" t="s">
        <v>792</v>
      </c>
      <c r="M28" s="11" t="s">
        <v>792</v>
      </c>
      <c r="N28" s="11" t="s">
        <v>792</v>
      </c>
      <c r="O28" s="28" t="s">
        <v>848</v>
      </c>
      <c r="P28" s="28" t="s">
        <v>848</v>
      </c>
      <c r="Q28" s="11" t="s">
        <v>93</v>
      </c>
      <c r="R28" s="11" t="s">
        <v>47</v>
      </c>
      <c r="S28" s="29" t="s">
        <v>872</v>
      </c>
      <c r="T28" s="29" t="s">
        <v>872</v>
      </c>
      <c r="U28" s="11" t="s">
        <v>47</v>
      </c>
      <c r="V28" s="11" t="s">
        <v>47</v>
      </c>
      <c r="W28" s="11">
        <v>-1</v>
      </c>
      <c r="X28" s="11">
        <v>-1</v>
      </c>
      <c r="Y28" s="11" t="s">
        <v>792</v>
      </c>
      <c r="Z28" s="11" t="s">
        <v>792</v>
      </c>
      <c r="AA28" s="11" t="s">
        <v>792</v>
      </c>
      <c r="AB28" s="11" t="s">
        <v>792</v>
      </c>
      <c r="AC28" s="11" t="s">
        <v>792</v>
      </c>
      <c r="AD28" s="11" t="s">
        <v>792</v>
      </c>
      <c r="AE28" s="11" t="s">
        <v>90</v>
      </c>
    </row>
    <row r="29" spans="1:31" s="11" customFormat="1" x14ac:dyDescent="0.25">
      <c r="A29" s="11">
        <v>15</v>
      </c>
      <c r="B29" s="11" t="s">
        <v>860</v>
      </c>
      <c r="C29" s="11" t="s">
        <v>792</v>
      </c>
      <c r="D29" s="11" t="s">
        <v>792</v>
      </c>
      <c r="E29" s="11" t="s">
        <v>792</v>
      </c>
      <c r="F29" s="11" t="s">
        <v>792</v>
      </c>
      <c r="G29" s="11" t="s">
        <v>792</v>
      </c>
      <c r="H29" s="11" t="s">
        <v>792</v>
      </c>
      <c r="I29" s="11" t="s">
        <v>792</v>
      </c>
      <c r="J29" s="11" t="s">
        <v>792</v>
      </c>
      <c r="K29" s="11" t="s">
        <v>792</v>
      </c>
      <c r="L29" s="11" t="s">
        <v>792</v>
      </c>
      <c r="M29" s="11" t="s">
        <v>792</v>
      </c>
      <c r="N29" s="11" t="s">
        <v>792</v>
      </c>
      <c r="O29" s="28" t="s">
        <v>813</v>
      </c>
      <c r="P29" s="28" t="s">
        <v>813</v>
      </c>
      <c r="Q29" s="11" t="s">
        <v>97</v>
      </c>
      <c r="R29" s="11" t="s">
        <v>47</v>
      </c>
      <c r="S29" s="29" t="s">
        <v>814</v>
      </c>
      <c r="T29" s="29" t="s">
        <v>814</v>
      </c>
      <c r="U29" s="11" t="s">
        <v>47</v>
      </c>
      <c r="V29" s="11" t="s">
        <v>47</v>
      </c>
      <c r="W29" s="11">
        <v>-1</v>
      </c>
      <c r="X29" s="11">
        <v>-1</v>
      </c>
      <c r="Y29" s="11" t="s">
        <v>792</v>
      </c>
      <c r="Z29" s="11" t="s">
        <v>792</v>
      </c>
      <c r="AA29" s="11" t="s">
        <v>792</v>
      </c>
      <c r="AB29" s="11" t="s">
        <v>792</v>
      </c>
      <c r="AC29" s="11" t="s">
        <v>792</v>
      </c>
      <c r="AD29" s="11" t="s">
        <v>792</v>
      </c>
      <c r="AE29" s="11" t="s">
        <v>90</v>
      </c>
    </row>
    <row r="30" spans="1:31" s="11" customFormat="1" ht="30" x14ac:dyDescent="0.25">
      <c r="A30" s="11">
        <v>17</v>
      </c>
      <c r="B30" s="11" t="s">
        <v>860</v>
      </c>
      <c r="C30" s="11" t="s">
        <v>792</v>
      </c>
      <c r="D30" s="11" t="s">
        <v>792</v>
      </c>
      <c r="E30" s="11" t="s">
        <v>792</v>
      </c>
      <c r="F30" s="11" t="s">
        <v>792</v>
      </c>
      <c r="G30" s="11" t="s">
        <v>792</v>
      </c>
      <c r="H30" s="11" t="s">
        <v>792</v>
      </c>
      <c r="I30" s="11" t="s">
        <v>792</v>
      </c>
      <c r="J30" s="11" t="s">
        <v>792</v>
      </c>
      <c r="K30" s="11" t="s">
        <v>792</v>
      </c>
      <c r="L30" s="11" t="s">
        <v>792</v>
      </c>
      <c r="M30" s="11" t="s">
        <v>792</v>
      </c>
      <c r="N30" s="11" t="s">
        <v>792</v>
      </c>
      <c r="O30" s="11" t="s">
        <v>115</v>
      </c>
      <c r="P30" s="11" t="s">
        <v>115</v>
      </c>
      <c r="Q30" s="11" t="s">
        <v>91</v>
      </c>
      <c r="R30" s="11" t="s">
        <v>47</v>
      </c>
      <c r="S30" s="11" t="s">
        <v>837</v>
      </c>
      <c r="T30" s="11" t="s">
        <v>815</v>
      </c>
      <c r="U30" s="11" t="s">
        <v>47</v>
      </c>
      <c r="V30" s="11" t="s">
        <v>47</v>
      </c>
      <c r="W30" s="11">
        <v>-1</v>
      </c>
      <c r="X30" s="11">
        <v>-1</v>
      </c>
      <c r="Y30" s="11" t="s">
        <v>792</v>
      </c>
      <c r="Z30" s="11" t="s">
        <v>792</v>
      </c>
      <c r="AA30" s="11" t="s">
        <v>792</v>
      </c>
      <c r="AB30" s="11" t="s">
        <v>792</v>
      </c>
      <c r="AC30" s="11" t="s">
        <v>792</v>
      </c>
      <c r="AD30" s="11" t="s">
        <v>792</v>
      </c>
      <c r="AE30" s="11" t="s">
        <v>90</v>
      </c>
    </row>
    <row r="31" spans="1:31" s="11" customFormat="1" ht="45" x14ac:dyDescent="0.25">
      <c r="A31" s="11">
        <v>18</v>
      </c>
      <c r="B31" s="11" t="s">
        <v>860</v>
      </c>
      <c r="C31" s="11" t="s">
        <v>792</v>
      </c>
      <c r="D31" s="11" t="s">
        <v>792</v>
      </c>
      <c r="E31" s="11" t="s">
        <v>792</v>
      </c>
      <c r="F31" s="11" t="s">
        <v>792</v>
      </c>
      <c r="G31" s="11" t="s">
        <v>792</v>
      </c>
      <c r="H31" s="11" t="s">
        <v>792</v>
      </c>
      <c r="I31" s="11" t="s">
        <v>792</v>
      </c>
      <c r="J31" s="11" t="s">
        <v>792</v>
      </c>
      <c r="K31" s="11" t="s">
        <v>792</v>
      </c>
      <c r="L31" s="11" t="s">
        <v>792</v>
      </c>
      <c r="M31" s="11" t="s">
        <v>792</v>
      </c>
      <c r="N31" s="11" t="s">
        <v>792</v>
      </c>
      <c r="O31" s="11" t="s">
        <v>119</v>
      </c>
      <c r="P31" s="11" t="s">
        <v>119</v>
      </c>
      <c r="Q31" s="11" t="s">
        <v>93</v>
      </c>
      <c r="R31" s="11" t="s">
        <v>90</v>
      </c>
      <c r="S31" s="11" t="s">
        <v>838</v>
      </c>
      <c r="T31" s="11" t="s">
        <v>816</v>
      </c>
      <c r="U31" s="11" t="s">
        <v>47</v>
      </c>
      <c r="V31" s="11" t="s">
        <v>47</v>
      </c>
      <c r="W31" s="11">
        <v>-1</v>
      </c>
      <c r="X31" s="11">
        <v>-1</v>
      </c>
      <c r="Y31" s="11" t="s">
        <v>792</v>
      </c>
      <c r="Z31" s="11" t="s">
        <v>792</v>
      </c>
      <c r="AA31" s="11" t="s">
        <v>792</v>
      </c>
      <c r="AB31" s="11" t="s">
        <v>792</v>
      </c>
      <c r="AC31" s="11" t="s">
        <v>792</v>
      </c>
      <c r="AD31" s="11" t="s">
        <v>792</v>
      </c>
      <c r="AE31" s="11" t="s">
        <v>90</v>
      </c>
    </row>
    <row r="32" spans="1:31" s="1" customFormat="1" x14ac:dyDescent="0.25">
      <c r="A32" s="1" t="s">
        <v>122</v>
      </c>
      <c r="B32" s="1" t="s">
        <v>792</v>
      </c>
      <c r="C32" s="1" t="s">
        <v>792</v>
      </c>
      <c r="D32" s="1" t="s">
        <v>792</v>
      </c>
      <c r="E32" s="1" t="s">
        <v>792</v>
      </c>
      <c r="F32" s="1" t="s">
        <v>792</v>
      </c>
      <c r="G32" s="1" t="s">
        <v>792</v>
      </c>
      <c r="H32" s="1" t="s">
        <v>792</v>
      </c>
      <c r="I32" s="1" t="s">
        <v>792</v>
      </c>
      <c r="J32" s="1" t="s">
        <v>792</v>
      </c>
      <c r="K32" s="1" t="s">
        <v>792</v>
      </c>
      <c r="L32" s="1" t="s">
        <v>792</v>
      </c>
      <c r="M32" s="1" t="s">
        <v>792</v>
      </c>
      <c r="N32" s="1" t="s">
        <v>792</v>
      </c>
      <c r="O32" s="1" t="s">
        <v>792</v>
      </c>
      <c r="P32" s="1" t="s">
        <v>792</v>
      </c>
      <c r="Q32" s="1" t="s">
        <v>792</v>
      </c>
      <c r="R32" s="1" t="s">
        <v>792</v>
      </c>
      <c r="S32" s="1" t="s">
        <v>792</v>
      </c>
      <c r="T32" s="1" t="s">
        <v>792</v>
      </c>
      <c r="U32" s="1" t="s">
        <v>792</v>
      </c>
      <c r="V32" s="1" t="s">
        <v>792</v>
      </c>
      <c r="W32" s="1" t="s">
        <v>792</v>
      </c>
      <c r="X32" s="1" t="s">
        <v>792</v>
      </c>
      <c r="Y32" s="1" t="s">
        <v>792</v>
      </c>
      <c r="Z32" s="1" t="s">
        <v>792</v>
      </c>
      <c r="AA32" s="1" t="s">
        <v>792</v>
      </c>
      <c r="AB32" s="1" t="s">
        <v>792</v>
      </c>
      <c r="AC32" s="1" t="s">
        <v>792</v>
      </c>
      <c r="AD32" s="1" t="s">
        <v>792</v>
      </c>
      <c r="AE32" s="1" t="s">
        <v>792</v>
      </c>
    </row>
  </sheetData>
  <mergeCells count="3">
    <mergeCell ref="A3:AE3"/>
    <mergeCell ref="A10:AE10"/>
    <mergeCell ref="A13:AE13"/>
  </mergeCells>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8"/>
  <sheetViews>
    <sheetView topLeftCell="A1048576" zoomScaleNormal="100" workbookViewId="0"/>
  </sheetViews>
  <sheetFormatPr defaultRowHeight="0" customHeight="1" zeroHeight="1" x14ac:dyDescent="0.25"/>
  <sheetData>
    <row r="1" spans="1:18" ht="15" x14ac:dyDescent="0.25">
      <c r="A1" s="20" t="s">
        <v>369</v>
      </c>
      <c r="B1" s="20"/>
      <c r="C1" s="20"/>
      <c r="D1" s="20"/>
      <c r="E1" s="20"/>
      <c r="F1" s="20"/>
      <c r="G1" s="20"/>
      <c r="H1" s="20"/>
    </row>
    <row r="2" spans="1:18" ht="15" x14ac:dyDescent="0.25">
      <c r="A2" t="s">
        <v>303</v>
      </c>
      <c r="B2" t="s">
        <v>304</v>
      </c>
      <c r="C2" t="s">
        <v>305</v>
      </c>
      <c r="D2" t="s">
        <v>306</v>
      </c>
      <c r="E2" t="s">
        <v>307</v>
      </c>
      <c r="F2" t="s">
        <v>308</v>
      </c>
      <c r="G2" t="s">
        <v>309</v>
      </c>
      <c r="H2" t="s">
        <v>310</v>
      </c>
      <c r="I2" t="s">
        <v>370</v>
      </c>
    </row>
    <row r="3" spans="1:18" ht="15" x14ac:dyDescent="0.25">
      <c r="A3">
        <v>1</v>
      </c>
      <c r="E3" t="s">
        <v>371</v>
      </c>
      <c r="F3" t="s">
        <v>97</v>
      </c>
      <c r="G3" t="s">
        <v>47</v>
      </c>
      <c r="H3" t="s">
        <v>372</v>
      </c>
      <c r="I3" t="s">
        <v>373</v>
      </c>
    </row>
    <row r="4" spans="1:18" ht="15" x14ac:dyDescent="0.25">
      <c r="A4">
        <f t="array" aca="1" ref="A4" ca="1">INDIRECT(ADDRESS(ROW()-1,COLUMN()))+1</f>
        <v>2</v>
      </c>
      <c r="E4" t="s">
        <v>374</v>
      </c>
      <c r="F4" t="s">
        <v>97</v>
      </c>
      <c r="G4" t="s">
        <v>47</v>
      </c>
      <c r="I4" t="s">
        <v>375</v>
      </c>
    </row>
    <row r="5" spans="1:18" ht="15" x14ac:dyDescent="0.25">
      <c r="A5">
        <f t="array" aca="1" ref="A5" ca="1">INDIRECT(ADDRESS(ROW()-1,COLUMN()))+1</f>
        <v>3</v>
      </c>
      <c r="E5" t="s">
        <v>376</v>
      </c>
      <c r="F5" t="s">
        <v>89</v>
      </c>
      <c r="G5" t="s">
        <v>47</v>
      </c>
      <c r="H5" t="s">
        <v>377</v>
      </c>
      <c r="I5" t="s">
        <v>378</v>
      </c>
    </row>
    <row r="6" spans="1:18" ht="15" x14ac:dyDescent="0.25">
      <c r="A6">
        <f t="array" aca="1" ref="A6" ca="1">INDIRECT(ADDRESS(ROW()-1,COLUMN()))+1</f>
        <v>4</v>
      </c>
      <c r="E6" t="s">
        <v>163</v>
      </c>
      <c r="F6" t="s">
        <v>97</v>
      </c>
      <c r="G6" t="s">
        <v>47</v>
      </c>
      <c r="I6" t="s">
        <v>379</v>
      </c>
    </row>
    <row r="7" spans="1:18" ht="15" x14ac:dyDescent="0.25">
      <c r="A7">
        <f t="array" aca="1" ref="A7" ca="1">INDIRECT(ADDRESS(ROW()-1,COLUMN()))+1</f>
        <v>5</v>
      </c>
      <c r="E7" t="s">
        <v>380</v>
      </c>
      <c r="F7" t="s">
        <v>97</v>
      </c>
      <c r="G7" t="s">
        <v>47</v>
      </c>
      <c r="H7" t="s">
        <v>381</v>
      </c>
      <c r="I7" t="s">
        <v>375</v>
      </c>
    </row>
    <row r="8" spans="1:18" ht="15" x14ac:dyDescent="0.25">
      <c r="A8">
        <f t="array" aca="1" ref="A8" ca="1">INDIRECT(ADDRESS(ROW()-1,COLUMN()))+1</f>
        <v>6</v>
      </c>
      <c r="E8" t="s">
        <v>382</v>
      </c>
      <c r="F8" t="s">
        <v>97</v>
      </c>
      <c r="G8" t="s">
        <v>47</v>
      </c>
      <c r="I8" t="s">
        <v>383</v>
      </c>
    </row>
    <row r="9" spans="1:18" ht="15" x14ac:dyDescent="0.25">
      <c r="A9">
        <f t="array" aca="1" ref="A9" ca="1">INDIRECT(ADDRESS(ROW()-1,COLUMN()))+1</f>
        <v>7</v>
      </c>
      <c r="E9" t="s">
        <v>384</v>
      </c>
      <c r="F9" t="s">
        <v>97</v>
      </c>
      <c r="G9" t="s">
        <v>47</v>
      </c>
      <c r="I9" t="s">
        <v>375</v>
      </c>
    </row>
    <row r="10" spans="1:18" ht="15" x14ac:dyDescent="0.25">
      <c r="A10" s="20" t="s">
        <v>385</v>
      </c>
      <c r="B10" s="20"/>
      <c r="C10" s="20"/>
      <c r="D10" s="20"/>
      <c r="E10" s="20"/>
      <c r="F10" s="20"/>
      <c r="G10" s="20"/>
      <c r="H10" s="20"/>
      <c r="I10" s="20"/>
      <c r="J10" s="20"/>
      <c r="K10" s="20"/>
      <c r="L10" s="20"/>
      <c r="M10" s="20"/>
      <c r="N10" s="20"/>
    </row>
    <row r="11" spans="1:18" ht="15" x14ac:dyDescent="0.25">
      <c r="A11" s="20" t="s">
        <v>56</v>
      </c>
      <c r="B11" s="20"/>
      <c r="C11" s="20"/>
      <c r="D11" s="20"/>
      <c r="E11" s="20"/>
      <c r="F11" s="20"/>
      <c r="G11" s="20"/>
      <c r="H11" s="20"/>
      <c r="I11" s="20"/>
      <c r="J11" s="20"/>
      <c r="K11" s="20"/>
      <c r="L11" s="20"/>
      <c r="M11" s="20"/>
      <c r="N11" s="20"/>
    </row>
    <row r="12" spans="1:18" ht="15" x14ac:dyDescent="0.25">
      <c r="A12" t="s">
        <v>303</v>
      </c>
      <c r="B12" t="s">
        <v>304</v>
      </c>
      <c r="C12" t="s">
        <v>305</v>
      </c>
      <c r="D12" t="s">
        <v>306</v>
      </c>
      <c r="E12" t="s">
        <v>386</v>
      </c>
      <c r="F12" t="s">
        <v>307</v>
      </c>
      <c r="G12" t="s">
        <v>308</v>
      </c>
      <c r="H12" t="s">
        <v>310</v>
      </c>
      <c r="I12" t="s">
        <v>309</v>
      </c>
      <c r="J12" t="s">
        <v>81</v>
      </c>
      <c r="K12" t="s">
        <v>82</v>
      </c>
      <c r="L12" t="s">
        <v>83</v>
      </c>
      <c r="M12" t="s">
        <v>84</v>
      </c>
      <c r="N12" t="s">
        <v>85</v>
      </c>
      <c r="O12" t="s">
        <v>86</v>
      </c>
      <c r="P12" t="s">
        <v>311</v>
      </c>
      <c r="Q12" t="s">
        <v>387</v>
      </c>
      <c r="R12" t="s">
        <v>370</v>
      </c>
    </row>
    <row r="13" spans="1:18" ht="15" x14ac:dyDescent="0.25">
      <c r="A13">
        <v>1</v>
      </c>
      <c r="F13" t="s">
        <v>374</v>
      </c>
      <c r="G13" t="s">
        <v>97</v>
      </c>
      <c r="I13" t="s">
        <v>47</v>
      </c>
      <c r="P13" t="s">
        <v>90</v>
      </c>
      <c r="R13" t="s">
        <v>388</v>
      </c>
    </row>
    <row r="14" spans="1:18" ht="15" x14ac:dyDescent="0.25">
      <c r="A14">
        <f t="array" aca="1" ref="A14" ca="1">INDIRECT(ADDRESS(ROW()-1,COLUMN()))+1</f>
        <v>2</v>
      </c>
      <c r="F14" t="s">
        <v>376</v>
      </c>
      <c r="G14" t="s">
        <v>89</v>
      </c>
      <c r="H14" t="s">
        <v>389</v>
      </c>
      <c r="I14" t="s">
        <v>47</v>
      </c>
      <c r="P14" t="s">
        <v>90</v>
      </c>
      <c r="R14" t="s">
        <v>390</v>
      </c>
    </row>
    <row r="15" spans="1:18" ht="15" x14ac:dyDescent="0.25">
      <c r="A15">
        <f t="array" aca="1" ref="A15" ca="1">INDIRECT(ADDRESS(ROW()-1,COLUMN()))+1</f>
        <v>3</v>
      </c>
      <c r="F15" t="s">
        <v>380</v>
      </c>
      <c r="G15" t="s">
        <v>97</v>
      </c>
      <c r="H15" t="s">
        <v>381</v>
      </c>
      <c r="I15" t="s">
        <v>47</v>
      </c>
      <c r="P15" t="s">
        <v>90</v>
      </c>
      <c r="R15" t="s">
        <v>391</v>
      </c>
    </row>
    <row r="16" spans="1:18" ht="15" x14ac:dyDescent="0.25">
      <c r="A16">
        <f t="array" aca="1" ref="A16" ca="1">INDIRECT(ADDRESS(ROW()-1,COLUMN()))+1</f>
        <v>4</v>
      </c>
      <c r="F16" t="s">
        <v>371</v>
      </c>
      <c r="G16" t="s">
        <v>97</v>
      </c>
      <c r="H16" t="s">
        <v>372</v>
      </c>
      <c r="I16" t="s">
        <v>47</v>
      </c>
      <c r="P16" t="s">
        <v>90</v>
      </c>
      <c r="R16" t="s">
        <v>373</v>
      </c>
    </row>
    <row r="17" spans="1:18" ht="15" x14ac:dyDescent="0.25">
      <c r="A17">
        <f t="array" aca="1" ref="A17" ca="1">INDIRECT(ADDRESS(ROW()-1,COLUMN()))+1</f>
        <v>5</v>
      </c>
      <c r="F17" t="s">
        <v>382</v>
      </c>
      <c r="G17" t="s">
        <v>97</v>
      </c>
      <c r="I17" t="s">
        <v>47</v>
      </c>
      <c r="J17" t="s">
        <v>392</v>
      </c>
      <c r="K17" t="s">
        <v>47</v>
      </c>
      <c r="L17" t="s">
        <v>47</v>
      </c>
      <c r="P17" t="s">
        <v>47</v>
      </c>
      <c r="R17" t="s">
        <v>383</v>
      </c>
    </row>
    <row r="18" spans="1:18" ht="15" x14ac:dyDescent="0.25">
      <c r="A18">
        <f t="array" aca="1" ref="A18" ca="1">INDIRECT(ADDRESS(ROW()-1,COLUMN()))+1</f>
        <v>6</v>
      </c>
      <c r="F18" t="s">
        <v>163</v>
      </c>
      <c r="G18" t="s">
        <v>97</v>
      </c>
      <c r="J18" t="s">
        <v>392</v>
      </c>
      <c r="K18" t="s">
        <v>47</v>
      </c>
      <c r="L18" t="s">
        <v>47</v>
      </c>
      <c r="P18" t="s">
        <v>47</v>
      </c>
      <c r="R18" t="s">
        <v>390</v>
      </c>
    </row>
    <row r="19" spans="1:18" ht="15" x14ac:dyDescent="0.25">
      <c r="A19">
        <f t="array" aca="1" ref="A19" ca="1">INDIRECT(ADDRESS(ROW()-1,COLUMN()))+1</f>
        <v>7</v>
      </c>
      <c r="F19" t="s">
        <v>342</v>
      </c>
      <c r="G19" t="s">
        <v>89</v>
      </c>
      <c r="H19" t="s">
        <v>47</v>
      </c>
      <c r="I19" t="s">
        <v>393</v>
      </c>
      <c r="P19" t="s">
        <v>90</v>
      </c>
      <c r="R19" t="s">
        <v>394</v>
      </c>
    </row>
    <row r="20" spans="1:18" ht="15" x14ac:dyDescent="0.25">
      <c r="A20" s="20" t="s">
        <v>395</v>
      </c>
      <c r="B20" s="20"/>
      <c r="C20" s="20"/>
      <c r="D20" s="20"/>
      <c r="E20" s="20"/>
      <c r="F20" s="20"/>
      <c r="G20" s="20"/>
      <c r="H20" s="20"/>
      <c r="I20" s="20"/>
      <c r="J20" s="20"/>
      <c r="K20" s="20"/>
      <c r="L20" s="20"/>
      <c r="M20" s="20"/>
      <c r="N20" s="20"/>
    </row>
    <row r="21" spans="1:18" ht="15" x14ac:dyDescent="0.25">
      <c r="A21" s="20" t="s">
        <v>56</v>
      </c>
      <c r="B21" s="20"/>
      <c r="C21" s="20"/>
      <c r="D21" s="20"/>
      <c r="E21" s="20"/>
      <c r="F21" s="20"/>
      <c r="G21" s="20"/>
      <c r="H21" s="20"/>
      <c r="I21" s="20"/>
      <c r="J21" s="20"/>
      <c r="K21" s="20"/>
      <c r="L21" s="20"/>
      <c r="M21" s="20"/>
      <c r="N21" s="20"/>
    </row>
    <row r="22" spans="1:18" ht="15" x14ac:dyDescent="0.25">
      <c r="A22" t="s">
        <v>303</v>
      </c>
      <c r="B22" t="s">
        <v>304</v>
      </c>
      <c r="C22" t="s">
        <v>305</v>
      </c>
      <c r="D22" t="s">
        <v>306</v>
      </c>
      <c r="E22" t="s">
        <v>386</v>
      </c>
      <c r="F22" t="s">
        <v>307</v>
      </c>
      <c r="G22" t="s">
        <v>308</v>
      </c>
      <c r="H22" t="s">
        <v>310</v>
      </c>
      <c r="I22" t="s">
        <v>309</v>
      </c>
      <c r="J22" t="s">
        <v>81</v>
      </c>
      <c r="K22" t="s">
        <v>82</v>
      </c>
      <c r="L22" t="s">
        <v>83</v>
      </c>
      <c r="M22" t="s">
        <v>84</v>
      </c>
      <c r="N22" t="s">
        <v>85</v>
      </c>
      <c r="P22" t="s">
        <v>370</v>
      </c>
    </row>
    <row r="23" spans="1:18" ht="15" x14ac:dyDescent="0.25">
      <c r="A23">
        <v>1</v>
      </c>
      <c r="E23" t="s">
        <v>371</v>
      </c>
      <c r="F23" t="s">
        <v>97</v>
      </c>
      <c r="G23" t="s">
        <v>47</v>
      </c>
      <c r="H23" t="s">
        <v>396</v>
      </c>
      <c r="I23" t="s">
        <v>90</v>
      </c>
      <c r="P23" t="s">
        <v>373</v>
      </c>
    </row>
    <row r="24" spans="1:18" ht="15" x14ac:dyDescent="0.25">
      <c r="A24">
        <f t="array" aca="1" ref="A24" ca="1">INDIRECT(ADDRESS(ROW()-1,COLUMN()))+1</f>
        <v>2</v>
      </c>
      <c r="E24" t="s">
        <v>374</v>
      </c>
      <c r="F24" t="s">
        <v>97</v>
      </c>
      <c r="G24" t="s">
        <v>47</v>
      </c>
      <c r="I24" t="s">
        <v>47</v>
      </c>
      <c r="P24" t="s">
        <v>388</v>
      </c>
    </row>
    <row r="25" spans="1:18" ht="15" x14ac:dyDescent="0.25">
      <c r="A25">
        <f t="array" aca="1" ref="A25" ca="1">INDIRECT(ADDRESS(ROW()-1,COLUMN()))+1</f>
        <v>3</v>
      </c>
      <c r="E25" t="s">
        <v>376</v>
      </c>
      <c r="F25" t="s">
        <v>89</v>
      </c>
      <c r="G25" t="s">
        <v>47</v>
      </c>
      <c r="H25" t="s">
        <v>389</v>
      </c>
      <c r="I25" t="s">
        <v>47</v>
      </c>
      <c r="P25" t="s">
        <v>390</v>
      </c>
    </row>
    <row r="26" spans="1:18" ht="15" x14ac:dyDescent="0.25">
      <c r="A26">
        <f t="array" aca="1" ref="A26" ca="1">INDIRECT(ADDRESS(ROW()-1,COLUMN()))+1</f>
        <v>4</v>
      </c>
      <c r="E26" t="s">
        <v>380</v>
      </c>
      <c r="F26" t="s">
        <v>97</v>
      </c>
      <c r="G26" t="s">
        <v>47</v>
      </c>
      <c r="H26" t="s">
        <v>381</v>
      </c>
      <c r="I26" t="s">
        <v>47</v>
      </c>
      <c r="P26" t="s">
        <v>391</v>
      </c>
    </row>
    <row r="27" spans="1:18" ht="15" x14ac:dyDescent="0.25">
      <c r="A27">
        <f t="array" aca="1" ref="A27" ca="1">INDIRECT(ADDRESS(ROW()-1,COLUMN()))+1</f>
        <v>5</v>
      </c>
      <c r="E27" t="s">
        <v>382</v>
      </c>
      <c r="F27" t="s">
        <v>97</v>
      </c>
      <c r="G27" t="s">
        <v>47</v>
      </c>
      <c r="I27" t="s">
        <v>47</v>
      </c>
      <c r="J27" t="s">
        <v>392</v>
      </c>
      <c r="K27" t="s">
        <v>47</v>
      </c>
      <c r="L27" t="s">
        <v>47</v>
      </c>
      <c r="P27" t="s">
        <v>383</v>
      </c>
    </row>
    <row r="28" spans="1:18" ht="15" x14ac:dyDescent="0.25">
      <c r="A28">
        <f t="array" aca="1" ref="A28" ca="1">INDIRECT(ADDRESS(ROW()-1,COLUMN()))+1</f>
        <v>6</v>
      </c>
      <c r="E28" t="s">
        <v>163</v>
      </c>
      <c r="F28" t="s">
        <v>97</v>
      </c>
      <c r="G28" t="s">
        <v>47</v>
      </c>
      <c r="I28" t="s">
        <v>47</v>
      </c>
      <c r="J28" t="s">
        <v>392</v>
      </c>
      <c r="K28" t="s">
        <v>47</v>
      </c>
      <c r="L28" t="s">
        <v>47</v>
      </c>
      <c r="P28" t="s">
        <v>390</v>
      </c>
    </row>
    <row r="29" spans="1:18" ht="15" x14ac:dyDescent="0.25">
      <c r="A29">
        <f t="array" aca="1" ref="A29" ca="1">INDIRECT(ADDRESS(ROW()-1,COLUMN()))+1</f>
        <v>7</v>
      </c>
      <c r="E29" t="s">
        <v>342</v>
      </c>
      <c r="F29" t="s">
        <v>89</v>
      </c>
      <c r="G29" t="s">
        <v>47</v>
      </c>
      <c r="H29" t="s">
        <v>397</v>
      </c>
      <c r="I29" t="s">
        <v>90</v>
      </c>
      <c r="O29" t="s">
        <v>90</v>
      </c>
      <c r="P29" t="s">
        <v>394</v>
      </c>
    </row>
    <row r="30" spans="1:18" ht="15" x14ac:dyDescent="0.25">
      <c r="A30" s="20" t="s">
        <v>398</v>
      </c>
      <c r="B30" s="20"/>
      <c r="C30" s="20"/>
      <c r="D30" s="20"/>
      <c r="E30" s="20"/>
      <c r="F30" s="20"/>
      <c r="G30" s="20"/>
      <c r="H30" s="20"/>
      <c r="I30" s="20"/>
      <c r="J30" s="20"/>
      <c r="K30" s="20"/>
      <c r="L30" s="20"/>
      <c r="M30" s="20"/>
      <c r="N30" s="20"/>
    </row>
    <row r="31" spans="1:18" ht="15" x14ac:dyDescent="0.25">
      <c r="A31" s="20" t="s">
        <v>399</v>
      </c>
      <c r="B31" s="20"/>
      <c r="C31" s="20"/>
    </row>
    <row r="32" spans="1:18" ht="15" x14ac:dyDescent="0.25">
      <c r="A32" s="20" t="s">
        <v>400</v>
      </c>
      <c r="B32" s="20"/>
      <c r="C32" s="20"/>
    </row>
    <row r="33" spans="1:14" ht="15" x14ac:dyDescent="0.25">
      <c r="A33" s="20" t="s">
        <v>401</v>
      </c>
      <c r="B33" s="20"/>
      <c r="C33" s="20"/>
    </row>
    <row r="34" spans="1:14" ht="15" x14ac:dyDescent="0.25">
      <c r="A34" s="20" t="s">
        <v>402</v>
      </c>
      <c r="B34" s="20"/>
      <c r="C34" s="20"/>
    </row>
    <row r="35" spans="1:14" ht="15" x14ac:dyDescent="0.25">
      <c r="A35" s="20" t="s">
        <v>403</v>
      </c>
      <c r="B35" s="20"/>
      <c r="C35" s="20"/>
    </row>
    <row r="36" spans="1:14" ht="15" x14ac:dyDescent="0.25">
      <c r="A36" s="20" t="s">
        <v>404</v>
      </c>
      <c r="B36" s="20"/>
      <c r="C36" s="20"/>
    </row>
    <row r="37" spans="1:14" ht="15" x14ac:dyDescent="0.25">
      <c r="A37" s="20" t="s">
        <v>405</v>
      </c>
      <c r="B37" s="20"/>
      <c r="C37" s="20"/>
      <c r="D37" s="20"/>
      <c r="E37" s="20"/>
      <c r="F37" s="20"/>
      <c r="G37" s="20"/>
      <c r="H37" s="20"/>
      <c r="I37" s="20"/>
      <c r="J37" s="20"/>
      <c r="K37" s="20"/>
      <c r="L37" s="20"/>
      <c r="M37" s="20"/>
      <c r="N37" s="20"/>
    </row>
    <row r="38" spans="1:14" ht="15" x14ac:dyDescent="0.25">
      <c r="A38" s="20" t="s">
        <v>404</v>
      </c>
      <c r="B38" s="20"/>
      <c r="C38" s="20"/>
    </row>
  </sheetData>
  <mergeCells count="14">
    <mergeCell ref="A1:H1"/>
    <mergeCell ref="A10:N10"/>
    <mergeCell ref="A11:N11"/>
    <mergeCell ref="A20:N20"/>
    <mergeCell ref="A21:N21"/>
    <mergeCell ref="A35:C35"/>
    <mergeCell ref="A36:C36"/>
    <mergeCell ref="A37:N37"/>
    <mergeCell ref="A38:C38"/>
    <mergeCell ref="A30:N30"/>
    <mergeCell ref="A31:C31"/>
    <mergeCell ref="A32:C32"/>
    <mergeCell ref="A33:C33"/>
    <mergeCell ref="A34:C3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60"/>
  <sheetViews>
    <sheetView topLeftCell="A188" zoomScaleNormal="100" workbookViewId="0">
      <selection sqref="A1:P1"/>
    </sheetView>
  </sheetViews>
  <sheetFormatPr defaultRowHeight="0" customHeight="1" zeroHeight="1" x14ac:dyDescent="0.25"/>
  <sheetData>
    <row r="1" spans="1:16" ht="15" x14ac:dyDescent="0.25">
      <c r="A1" s="20" t="s">
        <v>406</v>
      </c>
      <c r="B1" s="20"/>
      <c r="C1" s="20"/>
      <c r="D1" s="20"/>
      <c r="E1" s="20"/>
      <c r="F1" s="20"/>
      <c r="G1" s="20"/>
      <c r="H1" s="20"/>
      <c r="I1" s="20"/>
      <c r="J1" s="20"/>
      <c r="K1" s="20"/>
      <c r="L1" s="20"/>
      <c r="M1" s="20"/>
      <c r="N1" s="20"/>
      <c r="O1" s="20"/>
      <c r="P1" s="20"/>
    </row>
    <row r="2" spans="1:16" ht="15" x14ac:dyDescent="0.25">
      <c r="A2" s="20" t="s">
        <v>45</v>
      </c>
      <c r="B2" s="20"/>
      <c r="C2" s="20"/>
      <c r="D2" s="20"/>
      <c r="E2" s="20"/>
      <c r="F2" s="20"/>
      <c r="G2" s="20"/>
      <c r="H2" s="20"/>
      <c r="I2" s="20"/>
      <c r="J2" s="20"/>
      <c r="K2" s="20"/>
      <c r="L2" s="20"/>
      <c r="M2" s="20"/>
      <c r="N2" s="20"/>
      <c r="O2" s="20"/>
      <c r="P2" s="20"/>
    </row>
    <row r="3" spans="1:16" ht="15" x14ac:dyDescent="0.25">
      <c r="A3" s="20" t="s">
        <v>407</v>
      </c>
      <c r="B3" s="20"/>
      <c r="C3" s="20"/>
      <c r="D3" s="20"/>
      <c r="E3" s="20"/>
      <c r="F3" s="20"/>
      <c r="G3" s="20"/>
      <c r="H3" s="20"/>
      <c r="I3" s="20"/>
      <c r="J3" s="20"/>
      <c r="K3" s="20"/>
      <c r="L3" s="20"/>
      <c r="M3" s="20"/>
      <c r="N3" s="20"/>
      <c r="O3" s="20"/>
      <c r="P3" s="20"/>
    </row>
    <row r="4" spans="1:16" ht="15" x14ac:dyDescent="0.25">
      <c r="A4" s="20" t="s">
        <v>301</v>
      </c>
      <c r="B4" s="20"/>
      <c r="C4" s="20"/>
      <c r="D4" s="20"/>
      <c r="E4" s="20"/>
      <c r="F4" s="20"/>
      <c r="G4" s="20"/>
      <c r="H4" s="20"/>
      <c r="I4" s="20"/>
      <c r="J4" s="20"/>
      <c r="K4" s="20"/>
      <c r="L4" s="20"/>
      <c r="M4" s="20"/>
      <c r="N4" s="20"/>
      <c r="O4" s="20"/>
      <c r="P4" s="20"/>
    </row>
    <row r="5" spans="1:16" ht="15" x14ac:dyDescent="0.25">
      <c r="A5" s="20" t="s">
        <v>408</v>
      </c>
      <c r="B5" s="20"/>
      <c r="C5" s="20"/>
      <c r="D5" s="20"/>
      <c r="E5" s="20"/>
      <c r="F5" s="20"/>
      <c r="G5" s="20"/>
      <c r="H5" s="20"/>
      <c r="I5" s="20"/>
      <c r="J5" s="20"/>
      <c r="K5" s="20"/>
      <c r="L5" s="20"/>
      <c r="M5" s="20"/>
      <c r="N5" s="20"/>
      <c r="O5" s="20"/>
      <c r="P5" s="20"/>
    </row>
    <row r="6" spans="1:16" ht="15" x14ac:dyDescent="0.25">
      <c r="A6" s="20" t="s">
        <v>301</v>
      </c>
      <c r="B6" s="20"/>
      <c r="C6" s="20"/>
      <c r="D6" s="20"/>
      <c r="E6" s="20"/>
      <c r="F6" s="20"/>
      <c r="G6" s="20"/>
      <c r="H6" s="20"/>
      <c r="I6" s="20"/>
      <c r="J6" s="20"/>
      <c r="K6" s="20"/>
      <c r="L6" s="20"/>
      <c r="M6" s="20"/>
      <c r="N6" s="20"/>
    </row>
    <row r="7" spans="1:16" ht="15" x14ac:dyDescent="0.25">
      <c r="A7" s="20" t="s">
        <v>56</v>
      </c>
      <c r="B7" s="20"/>
      <c r="C7" s="20"/>
      <c r="D7" s="20"/>
      <c r="E7" s="20"/>
      <c r="F7" s="20"/>
      <c r="G7" s="20"/>
      <c r="H7" s="20"/>
      <c r="I7" s="20"/>
      <c r="J7" s="20"/>
      <c r="K7" s="20"/>
      <c r="L7" s="20"/>
      <c r="M7" s="20"/>
      <c r="N7" s="20"/>
      <c r="O7" s="20"/>
      <c r="P7" s="20"/>
    </row>
    <row r="8" spans="1:16" ht="15" x14ac:dyDescent="0.25">
      <c r="A8" t="s">
        <v>303</v>
      </c>
      <c r="B8" t="s">
        <v>304</v>
      </c>
      <c r="C8" t="s">
        <v>305</v>
      </c>
      <c r="D8" t="s">
        <v>306</v>
      </c>
      <c r="E8" t="s">
        <v>307</v>
      </c>
      <c r="F8" t="s">
        <v>308</v>
      </c>
      <c r="G8" t="s">
        <v>309</v>
      </c>
      <c r="H8" t="s">
        <v>409</v>
      </c>
      <c r="I8" t="s">
        <v>82</v>
      </c>
      <c r="J8" t="s">
        <v>83</v>
      </c>
      <c r="K8" t="s">
        <v>84</v>
      </c>
      <c r="L8" t="s">
        <v>85</v>
      </c>
      <c r="M8" t="s">
        <v>86</v>
      </c>
      <c r="N8" t="s">
        <v>311</v>
      </c>
      <c r="O8" t="s">
        <v>410</v>
      </c>
      <c r="P8" t="s">
        <v>411</v>
      </c>
    </row>
    <row r="9" spans="1:16" ht="15" x14ac:dyDescent="0.25">
      <c r="A9">
        <v>1</v>
      </c>
      <c r="E9" t="s">
        <v>412</v>
      </c>
      <c r="F9" t="s">
        <v>89</v>
      </c>
      <c r="G9" t="s">
        <v>90</v>
      </c>
      <c r="H9" t="s">
        <v>413</v>
      </c>
      <c r="I9" t="s">
        <v>47</v>
      </c>
      <c r="N9" t="s">
        <v>47</v>
      </c>
      <c r="O9" t="s">
        <v>90</v>
      </c>
      <c r="P9" t="s">
        <v>47</v>
      </c>
    </row>
    <row r="10" spans="1:16" ht="15" x14ac:dyDescent="0.25">
      <c r="A10">
        <f t="shared" ref="A10:A41" si="0">A9+1</f>
        <v>2</v>
      </c>
      <c r="E10" t="s">
        <v>414</v>
      </c>
      <c r="F10" t="s">
        <v>415</v>
      </c>
      <c r="G10" t="s">
        <v>47</v>
      </c>
      <c r="H10" t="s">
        <v>416</v>
      </c>
      <c r="N10" t="s">
        <v>47</v>
      </c>
      <c r="O10" t="s">
        <v>90</v>
      </c>
      <c r="P10" t="s">
        <v>47</v>
      </c>
    </row>
    <row r="11" spans="1:16" ht="15" x14ac:dyDescent="0.25">
      <c r="A11">
        <f t="shared" si="0"/>
        <v>3</v>
      </c>
      <c r="E11" t="s">
        <v>417</v>
      </c>
      <c r="F11" t="s">
        <v>415</v>
      </c>
      <c r="G11" t="s">
        <v>47</v>
      </c>
      <c r="H11" t="s">
        <v>418</v>
      </c>
      <c r="N11" t="s">
        <v>47</v>
      </c>
      <c r="O11" t="s">
        <v>90</v>
      </c>
      <c r="P11" t="s">
        <v>90</v>
      </c>
    </row>
    <row r="12" spans="1:16" ht="15" x14ac:dyDescent="0.25">
      <c r="A12">
        <f t="shared" si="0"/>
        <v>4</v>
      </c>
      <c r="E12" t="s">
        <v>419</v>
      </c>
      <c r="F12" t="s">
        <v>420</v>
      </c>
      <c r="G12" t="s">
        <v>47</v>
      </c>
      <c r="H12" t="s">
        <v>421</v>
      </c>
      <c r="N12" t="s">
        <v>47</v>
      </c>
      <c r="O12" t="s">
        <v>90</v>
      </c>
      <c r="P12" t="s">
        <v>90</v>
      </c>
    </row>
    <row r="13" spans="1:16" ht="15" x14ac:dyDescent="0.25">
      <c r="A13">
        <f t="shared" si="0"/>
        <v>5</v>
      </c>
      <c r="E13" t="s">
        <v>422</v>
      </c>
      <c r="F13" t="s">
        <v>423</v>
      </c>
      <c r="G13" t="s">
        <v>47</v>
      </c>
      <c r="H13" t="s">
        <v>424</v>
      </c>
      <c r="N13" t="s">
        <v>47</v>
      </c>
      <c r="O13" t="s">
        <v>90</v>
      </c>
      <c r="P13" t="s">
        <v>47</v>
      </c>
    </row>
    <row r="14" spans="1:16" ht="15" x14ac:dyDescent="0.25">
      <c r="A14">
        <f t="shared" si="0"/>
        <v>6</v>
      </c>
      <c r="E14" t="s">
        <v>425</v>
      </c>
      <c r="F14" t="s">
        <v>420</v>
      </c>
      <c r="G14" t="s">
        <v>47</v>
      </c>
      <c r="H14" t="s">
        <v>426</v>
      </c>
      <c r="N14" t="s">
        <v>47</v>
      </c>
      <c r="O14" t="s">
        <v>90</v>
      </c>
      <c r="P14" t="s">
        <v>90</v>
      </c>
    </row>
    <row r="15" spans="1:16" ht="15" x14ac:dyDescent="0.25">
      <c r="A15">
        <f t="shared" si="0"/>
        <v>7</v>
      </c>
      <c r="E15" t="s">
        <v>427</v>
      </c>
      <c r="F15" t="s">
        <v>423</v>
      </c>
      <c r="G15" t="s">
        <v>47</v>
      </c>
      <c r="H15" t="s">
        <v>428</v>
      </c>
      <c r="N15" t="s">
        <v>47</v>
      </c>
      <c r="O15" t="s">
        <v>90</v>
      </c>
      <c r="P15" t="s">
        <v>47</v>
      </c>
    </row>
    <row r="16" spans="1:16" ht="15" x14ac:dyDescent="0.25">
      <c r="A16">
        <f t="shared" si="0"/>
        <v>8</v>
      </c>
      <c r="E16" t="s">
        <v>429</v>
      </c>
      <c r="F16" t="s">
        <v>430</v>
      </c>
      <c r="G16" t="s">
        <v>47</v>
      </c>
      <c r="H16" t="s">
        <v>431</v>
      </c>
      <c r="N16" t="s">
        <v>47</v>
      </c>
      <c r="O16" t="s">
        <v>90</v>
      </c>
      <c r="P16" t="s">
        <v>47</v>
      </c>
    </row>
    <row r="17" spans="1:16" ht="15" x14ac:dyDescent="0.25">
      <c r="A17">
        <f t="shared" si="0"/>
        <v>9</v>
      </c>
      <c r="E17" t="s">
        <v>432</v>
      </c>
      <c r="F17" t="s">
        <v>423</v>
      </c>
      <c r="G17" t="s">
        <v>47</v>
      </c>
      <c r="H17" t="s">
        <v>433</v>
      </c>
      <c r="N17" t="s">
        <v>47</v>
      </c>
      <c r="O17" t="s">
        <v>47</v>
      </c>
      <c r="P17" t="s">
        <v>90</v>
      </c>
    </row>
    <row r="18" spans="1:16" ht="15" x14ac:dyDescent="0.25">
      <c r="A18">
        <f t="shared" si="0"/>
        <v>10</v>
      </c>
      <c r="E18" t="s">
        <v>434</v>
      </c>
      <c r="F18" t="s">
        <v>415</v>
      </c>
      <c r="G18" t="s">
        <v>47</v>
      </c>
      <c r="H18" t="s">
        <v>435</v>
      </c>
      <c r="N18" t="s">
        <v>47</v>
      </c>
      <c r="O18" t="s">
        <v>47</v>
      </c>
      <c r="P18" t="s">
        <v>90</v>
      </c>
    </row>
    <row r="19" spans="1:16" ht="15" x14ac:dyDescent="0.25">
      <c r="A19">
        <f t="shared" si="0"/>
        <v>11</v>
      </c>
      <c r="B19" t="s">
        <v>436</v>
      </c>
      <c r="E19" t="s">
        <v>437</v>
      </c>
      <c r="F19" t="s">
        <v>423</v>
      </c>
      <c r="G19" t="s">
        <v>47</v>
      </c>
      <c r="H19" t="s">
        <v>438</v>
      </c>
      <c r="N19" t="s">
        <v>47</v>
      </c>
      <c r="O19" t="s">
        <v>47</v>
      </c>
      <c r="P19" t="s">
        <v>90</v>
      </c>
    </row>
    <row r="20" spans="1:16" ht="15" x14ac:dyDescent="0.25">
      <c r="A20">
        <f t="shared" si="0"/>
        <v>12</v>
      </c>
      <c r="E20" t="s">
        <v>439</v>
      </c>
      <c r="F20" t="s">
        <v>440</v>
      </c>
      <c r="G20" t="s">
        <v>47</v>
      </c>
      <c r="H20" t="s">
        <v>441</v>
      </c>
      <c r="N20" t="s">
        <v>47</v>
      </c>
      <c r="O20" t="s">
        <v>90</v>
      </c>
      <c r="P20" t="s">
        <v>47</v>
      </c>
    </row>
    <row r="21" spans="1:16" ht="15" x14ac:dyDescent="0.25">
      <c r="A21">
        <f t="shared" si="0"/>
        <v>13</v>
      </c>
      <c r="E21" t="s">
        <v>442</v>
      </c>
      <c r="F21" t="s">
        <v>420</v>
      </c>
      <c r="G21" t="s">
        <v>47</v>
      </c>
      <c r="H21" t="s">
        <v>443</v>
      </c>
      <c r="N21" t="s">
        <v>47</v>
      </c>
      <c r="O21" t="s">
        <v>90</v>
      </c>
      <c r="P21" t="s">
        <v>47</v>
      </c>
    </row>
    <row r="22" spans="1:16" ht="15" x14ac:dyDescent="0.25">
      <c r="A22">
        <f t="shared" si="0"/>
        <v>14</v>
      </c>
      <c r="E22" t="s">
        <v>444</v>
      </c>
      <c r="F22" t="s">
        <v>423</v>
      </c>
      <c r="G22" t="s">
        <v>47</v>
      </c>
      <c r="H22" t="s">
        <v>445</v>
      </c>
      <c r="N22" t="s">
        <v>47</v>
      </c>
      <c r="O22" t="s">
        <v>90</v>
      </c>
      <c r="P22" t="s">
        <v>47</v>
      </c>
    </row>
    <row r="23" spans="1:16" ht="15" x14ac:dyDescent="0.25">
      <c r="A23">
        <f t="shared" si="0"/>
        <v>15</v>
      </c>
      <c r="E23" t="s">
        <v>446</v>
      </c>
      <c r="F23" t="s">
        <v>420</v>
      </c>
      <c r="G23" t="s">
        <v>47</v>
      </c>
      <c r="H23" t="s">
        <v>447</v>
      </c>
      <c r="N23" t="s">
        <v>47</v>
      </c>
      <c r="O23" t="s">
        <v>90</v>
      </c>
      <c r="P23" t="s">
        <v>47</v>
      </c>
    </row>
    <row r="24" spans="1:16" ht="15" x14ac:dyDescent="0.25">
      <c r="A24">
        <f t="shared" si="0"/>
        <v>16</v>
      </c>
      <c r="E24" t="s">
        <v>448</v>
      </c>
      <c r="F24" t="s">
        <v>415</v>
      </c>
      <c r="G24" t="s">
        <v>47</v>
      </c>
      <c r="H24" t="s">
        <v>449</v>
      </c>
      <c r="N24" t="s">
        <v>47</v>
      </c>
      <c r="O24" t="s">
        <v>90</v>
      </c>
      <c r="P24" t="s">
        <v>47</v>
      </c>
    </row>
    <row r="25" spans="1:16" ht="15" x14ac:dyDescent="0.25">
      <c r="A25">
        <f t="shared" si="0"/>
        <v>17</v>
      </c>
      <c r="E25" t="s">
        <v>450</v>
      </c>
      <c r="F25" t="s">
        <v>423</v>
      </c>
      <c r="G25" t="s">
        <v>47</v>
      </c>
      <c r="H25" t="s">
        <v>451</v>
      </c>
      <c r="N25" t="s">
        <v>47</v>
      </c>
      <c r="O25" t="s">
        <v>90</v>
      </c>
      <c r="P25" t="s">
        <v>90</v>
      </c>
    </row>
    <row r="26" spans="1:16" ht="15" x14ac:dyDescent="0.25">
      <c r="A26">
        <f t="shared" si="0"/>
        <v>18</v>
      </c>
      <c r="E26" t="s">
        <v>452</v>
      </c>
      <c r="F26" t="s">
        <v>430</v>
      </c>
      <c r="G26" t="s">
        <v>47</v>
      </c>
      <c r="H26" t="s">
        <v>453</v>
      </c>
      <c r="N26" t="s">
        <v>47</v>
      </c>
      <c r="O26" t="s">
        <v>90</v>
      </c>
      <c r="P26" t="s">
        <v>90</v>
      </c>
    </row>
    <row r="27" spans="1:16" ht="15" x14ac:dyDescent="0.25">
      <c r="A27">
        <f t="shared" si="0"/>
        <v>19</v>
      </c>
      <c r="E27" t="s">
        <v>454</v>
      </c>
      <c r="F27" t="s">
        <v>455</v>
      </c>
      <c r="G27" t="s">
        <v>47</v>
      </c>
      <c r="H27" t="s">
        <v>456</v>
      </c>
      <c r="N27" t="s">
        <v>47</v>
      </c>
      <c r="O27" t="s">
        <v>90</v>
      </c>
      <c r="P27" t="s">
        <v>90</v>
      </c>
    </row>
    <row r="28" spans="1:16" ht="15" x14ac:dyDescent="0.25">
      <c r="A28">
        <f t="shared" si="0"/>
        <v>20</v>
      </c>
      <c r="E28" t="s">
        <v>457</v>
      </c>
      <c r="F28" t="s">
        <v>430</v>
      </c>
      <c r="G28" t="s">
        <v>47</v>
      </c>
      <c r="H28" t="s">
        <v>458</v>
      </c>
      <c r="N28" t="s">
        <v>47</v>
      </c>
      <c r="O28" t="s">
        <v>90</v>
      </c>
      <c r="P28" t="s">
        <v>47</v>
      </c>
    </row>
    <row r="29" spans="1:16" ht="15" x14ac:dyDescent="0.25">
      <c r="A29">
        <f t="shared" si="0"/>
        <v>21</v>
      </c>
      <c r="E29" t="s">
        <v>459</v>
      </c>
      <c r="F29" t="s">
        <v>415</v>
      </c>
      <c r="G29" t="s">
        <v>47</v>
      </c>
      <c r="H29" t="s">
        <v>460</v>
      </c>
      <c r="N29" t="s">
        <v>47</v>
      </c>
      <c r="O29" t="s">
        <v>90</v>
      </c>
      <c r="P29" t="s">
        <v>90</v>
      </c>
    </row>
    <row r="30" spans="1:16" ht="15" x14ac:dyDescent="0.25">
      <c r="A30">
        <f t="shared" si="0"/>
        <v>22</v>
      </c>
      <c r="E30" t="s">
        <v>92</v>
      </c>
      <c r="F30" t="s">
        <v>440</v>
      </c>
      <c r="G30" t="s">
        <v>47</v>
      </c>
      <c r="H30" t="s">
        <v>461</v>
      </c>
      <c r="N30" t="s">
        <v>47</v>
      </c>
      <c r="O30" t="s">
        <v>90</v>
      </c>
      <c r="P30" t="s">
        <v>90</v>
      </c>
    </row>
    <row r="31" spans="1:16" ht="15" x14ac:dyDescent="0.25">
      <c r="A31">
        <f t="shared" si="0"/>
        <v>23</v>
      </c>
      <c r="B31" t="s">
        <v>436</v>
      </c>
      <c r="E31" t="s">
        <v>462</v>
      </c>
      <c r="F31" t="s">
        <v>463</v>
      </c>
      <c r="G31" t="s">
        <v>47</v>
      </c>
      <c r="H31" t="s">
        <v>464</v>
      </c>
      <c r="N31" t="s">
        <v>47</v>
      </c>
      <c r="O31" t="s">
        <v>47</v>
      </c>
      <c r="P31" t="s">
        <v>90</v>
      </c>
    </row>
    <row r="32" spans="1:16" ht="15" x14ac:dyDescent="0.25">
      <c r="A32">
        <f t="shared" si="0"/>
        <v>24</v>
      </c>
      <c r="B32" t="s">
        <v>436</v>
      </c>
      <c r="E32" t="s">
        <v>465</v>
      </c>
      <c r="F32" t="s">
        <v>430</v>
      </c>
      <c r="G32" t="s">
        <v>47</v>
      </c>
      <c r="H32" t="s">
        <v>466</v>
      </c>
      <c r="N32" t="s">
        <v>47</v>
      </c>
      <c r="O32" t="s">
        <v>47</v>
      </c>
      <c r="P32" t="s">
        <v>90</v>
      </c>
    </row>
    <row r="33" spans="1:16" ht="15" x14ac:dyDescent="0.25">
      <c r="A33">
        <f t="shared" si="0"/>
        <v>25</v>
      </c>
      <c r="B33" t="s">
        <v>467</v>
      </c>
      <c r="E33" t="s">
        <v>468</v>
      </c>
      <c r="F33" t="s">
        <v>440</v>
      </c>
      <c r="G33" t="s">
        <v>47</v>
      </c>
      <c r="H33" t="s">
        <v>469</v>
      </c>
      <c r="N33" t="s">
        <v>47</v>
      </c>
      <c r="O33" t="s">
        <v>47</v>
      </c>
      <c r="P33" t="s">
        <v>90</v>
      </c>
    </row>
    <row r="34" spans="1:16" ht="15" x14ac:dyDescent="0.25">
      <c r="A34">
        <f t="shared" si="0"/>
        <v>26</v>
      </c>
      <c r="B34" t="s">
        <v>467</v>
      </c>
      <c r="E34" t="s">
        <v>470</v>
      </c>
      <c r="F34" t="s">
        <v>430</v>
      </c>
      <c r="G34" t="s">
        <v>47</v>
      </c>
      <c r="H34" t="s">
        <v>471</v>
      </c>
      <c r="N34" t="s">
        <v>47</v>
      </c>
      <c r="O34" t="s">
        <v>47</v>
      </c>
      <c r="P34" t="s">
        <v>90</v>
      </c>
    </row>
    <row r="35" spans="1:16" ht="15" x14ac:dyDescent="0.25">
      <c r="A35">
        <f t="shared" si="0"/>
        <v>27</v>
      </c>
      <c r="B35" t="s">
        <v>467</v>
      </c>
      <c r="E35" t="s">
        <v>472</v>
      </c>
      <c r="F35" t="s">
        <v>430</v>
      </c>
      <c r="G35" t="s">
        <v>47</v>
      </c>
      <c r="H35" t="s">
        <v>473</v>
      </c>
      <c r="N35" t="s">
        <v>47</v>
      </c>
      <c r="O35" t="s">
        <v>47</v>
      </c>
      <c r="P35" t="s">
        <v>90</v>
      </c>
    </row>
    <row r="36" spans="1:16" ht="15" x14ac:dyDescent="0.25">
      <c r="A36">
        <f t="shared" si="0"/>
        <v>28</v>
      </c>
      <c r="B36" t="s">
        <v>467</v>
      </c>
      <c r="E36" t="s">
        <v>474</v>
      </c>
      <c r="F36" t="s">
        <v>455</v>
      </c>
      <c r="G36" t="s">
        <v>47</v>
      </c>
      <c r="H36" t="s">
        <v>475</v>
      </c>
      <c r="N36" t="s">
        <v>47</v>
      </c>
      <c r="O36" t="s">
        <v>47</v>
      </c>
      <c r="P36" t="s">
        <v>90</v>
      </c>
    </row>
    <row r="37" spans="1:16" ht="15" x14ac:dyDescent="0.25">
      <c r="A37">
        <f t="shared" si="0"/>
        <v>29</v>
      </c>
      <c r="B37" t="s">
        <v>467</v>
      </c>
      <c r="E37" t="s">
        <v>476</v>
      </c>
      <c r="F37" t="s">
        <v>440</v>
      </c>
      <c r="G37" t="s">
        <v>47</v>
      </c>
      <c r="H37" t="s">
        <v>477</v>
      </c>
      <c r="N37" t="s">
        <v>47</v>
      </c>
      <c r="O37" t="s">
        <v>47</v>
      </c>
      <c r="P37" t="s">
        <v>90</v>
      </c>
    </row>
    <row r="38" spans="1:16" ht="15" x14ac:dyDescent="0.25">
      <c r="A38">
        <f t="shared" si="0"/>
        <v>30</v>
      </c>
      <c r="B38" t="s">
        <v>467</v>
      </c>
      <c r="E38" t="s">
        <v>478</v>
      </c>
      <c r="F38" t="s">
        <v>440</v>
      </c>
      <c r="G38" t="s">
        <v>47</v>
      </c>
      <c r="H38" t="s">
        <v>479</v>
      </c>
      <c r="N38" t="s">
        <v>47</v>
      </c>
      <c r="O38" t="s">
        <v>47</v>
      </c>
      <c r="P38" t="s">
        <v>90</v>
      </c>
    </row>
    <row r="39" spans="1:16" ht="15" x14ac:dyDescent="0.25">
      <c r="A39">
        <f t="shared" si="0"/>
        <v>31</v>
      </c>
      <c r="B39" t="s">
        <v>467</v>
      </c>
      <c r="E39" t="s">
        <v>480</v>
      </c>
      <c r="F39" t="s">
        <v>423</v>
      </c>
      <c r="G39" t="s">
        <v>47</v>
      </c>
      <c r="H39" t="s">
        <v>481</v>
      </c>
      <c r="N39" t="s">
        <v>47</v>
      </c>
      <c r="O39" t="s">
        <v>47</v>
      </c>
      <c r="P39" t="s">
        <v>90</v>
      </c>
    </row>
    <row r="40" spans="1:16" ht="15" x14ac:dyDescent="0.25">
      <c r="A40">
        <f t="shared" si="0"/>
        <v>32</v>
      </c>
      <c r="E40" t="s">
        <v>467</v>
      </c>
      <c r="F40" t="s">
        <v>420</v>
      </c>
      <c r="G40" t="s">
        <v>47</v>
      </c>
      <c r="H40" t="s">
        <v>482</v>
      </c>
      <c r="N40" t="s">
        <v>47</v>
      </c>
      <c r="O40" t="s">
        <v>47</v>
      </c>
      <c r="P40" t="s">
        <v>90</v>
      </c>
    </row>
    <row r="41" spans="1:16" ht="15" x14ac:dyDescent="0.25">
      <c r="A41">
        <f t="shared" si="0"/>
        <v>33</v>
      </c>
      <c r="B41" t="s">
        <v>467</v>
      </c>
      <c r="E41" t="s">
        <v>483</v>
      </c>
      <c r="F41" t="s">
        <v>463</v>
      </c>
      <c r="G41" t="s">
        <v>47</v>
      </c>
      <c r="H41" t="s">
        <v>484</v>
      </c>
      <c r="N41" t="s">
        <v>47</v>
      </c>
      <c r="O41" t="s">
        <v>47</v>
      </c>
      <c r="P41" t="s">
        <v>90</v>
      </c>
    </row>
    <row r="42" spans="1:16" ht="15" x14ac:dyDescent="0.25">
      <c r="A42">
        <f t="shared" ref="A42:A73" si="1">A41+1</f>
        <v>34</v>
      </c>
      <c r="B42" t="s">
        <v>467</v>
      </c>
      <c r="E42" t="s">
        <v>485</v>
      </c>
      <c r="F42" t="s">
        <v>423</v>
      </c>
      <c r="G42" t="s">
        <v>47</v>
      </c>
      <c r="H42" t="s">
        <v>486</v>
      </c>
      <c r="N42" t="s">
        <v>47</v>
      </c>
      <c r="O42" t="s">
        <v>47</v>
      </c>
      <c r="P42" t="s">
        <v>90</v>
      </c>
    </row>
    <row r="43" spans="1:16" ht="15" x14ac:dyDescent="0.25">
      <c r="A43">
        <f t="shared" si="1"/>
        <v>35</v>
      </c>
      <c r="B43" t="s">
        <v>487</v>
      </c>
      <c r="E43" t="s">
        <v>488</v>
      </c>
      <c r="F43" t="s">
        <v>440</v>
      </c>
      <c r="G43" t="s">
        <v>47</v>
      </c>
      <c r="H43" t="s">
        <v>489</v>
      </c>
      <c r="N43" t="s">
        <v>47</v>
      </c>
      <c r="O43" t="s">
        <v>47</v>
      </c>
      <c r="P43" t="s">
        <v>90</v>
      </c>
    </row>
    <row r="44" spans="1:16" ht="15" x14ac:dyDescent="0.25">
      <c r="A44">
        <f t="shared" si="1"/>
        <v>36</v>
      </c>
      <c r="B44" t="s">
        <v>487</v>
      </c>
      <c r="E44" t="s">
        <v>490</v>
      </c>
      <c r="F44" t="s">
        <v>430</v>
      </c>
      <c r="G44" t="s">
        <v>47</v>
      </c>
      <c r="H44" t="s">
        <v>491</v>
      </c>
      <c r="N44" t="s">
        <v>47</v>
      </c>
      <c r="O44" t="s">
        <v>47</v>
      </c>
      <c r="P44" t="s">
        <v>90</v>
      </c>
    </row>
    <row r="45" spans="1:16" ht="15" x14ac:dyDescent="0.25">
      <c r="A45">
        <f t="shared" si="1"/>
        <v>37</v>
      </c>
      <c r="B45" t="s">
        <v>487</v>
      </c>
      <c r="E45" t="s">
        <v>492</v>
      </c>
      <c r="F45" t="s">
        <v>430</v>
      </c>
      <c r="G45" t="s">
        <v>47</v>
      </c>
      <c r="H45" t="s">
        <v>493</v>
      </c>
      <c r="N45" t="s">
        <v>47</v>
      </c>
      <c r="O45" t="s">
        <v>47</v>
      </c>
      <c r="P45" t="s">
        <v>90</v>
      </c>
    </row>
    <row r="46" spans="1:16" ht="15" x14ac:dyDescent="0.25">
      <c r="A46">
        <f t="shared" si="1"/>
        <v>38</v>
      </c>
      <c r="B46" t="s">
        <v>487</v>
      </c>
      <c r="E46" t="s">
        <v>494</v>
      </c>
      <c r="F46" t="s">
        <v>455</v>
      </c>
      <c r="G46" t="s">
        <v>47</v>
      </c>
      <c r="H46" t="s">
        <v>495</v>
      </c>
      <c r="N46" t="s">
        <v>47</v>
      </c>
      <c r="O46" t="s">
        <v>47</v>
      </c>
      <c r="P46" t="s">
        <v>90</v>
      </c>
    </row>
    <row r="47" spans="1:16" ht="15" x14ac:dyDescent="0.25">
      <c r="A47">
        <f t="shared" si="1"/>
        <v>39</v>
      </c>
      <c r="B47" t="s">
        <v>487</v>
      </c>
      <c r="E47" t="s">
        <v>496</v>
      </c>
      <c r="F47" t="s">
        <v>440</v>
      </c>
      <c r="G47" t="s">
        <v>47</v>
      </c>
      <c r="H47" t="s">
        <v>497</v>
      </c>
      <c r="N47" t="s">
        <v>47</v>
      </c>
      <c r="O47" t="s">
        <v>47</v>
      </c>
      <c r="P47" t="s">
        <v>90</v>
      </c>
    </row>
    <row r="48" spans="1:16" ht="15" x14ac:dyDescent="0.25">
      <c r="A48">
        <f t="shared" si="1"/>
        <v>40</v>
      </c>
      <c r="B48" t="s">
        <v>487</v>
      </c>
      <c r="E48" t="s">
        <v>498</v>
      </c>
      <c r="F48" t="s">
        <v>440</v>
      </c>
      <c r="G48" t="s">
        <v>47</v>
      </c>
      <c r="H48" t="s">
        <v>499</v>
      </c>
      <c r="N48" t="s">
        <v>47</v>
      </c>
      <c r="O48" t="s">
        <v>47</v>
      </c>
      <c r="P48" t="s">
        <v>90</v>
      </c>
    </row>
    <row r="49" spans="1:16" ht="15" x14ac:dyDescent="0.25">
      <c r="A49">
        <f t="shared" si="1"/>
        <v>41</v>
      </c>
      <c r="E49" t="s">
        <v>500</v>
      </c>
      <c r="F49" t="s">
        <v>440</v>
      </c>
      <c r="G49" t="s">
        <v>47</v>
      </c>
      <c r="H49" t="s">
        <v>501</v>
      </c>
      <c r="N49" t="s">
        <v>47</v>
      </c>
      <c r="O49" t="s">
        <v>47</v>
      </c>
      <c r="P49" t="s">
        <v>90</v>
      </c>
    </row>
    <row r="50" spans="1:16" ht="15" x14ac:dyDescent="0.25">
      <c r="A50">
        <f t="shared" si="1"/>
        <v>42</v>
      </c>
      <c r="B50" t="s">
        <v>487</v>
      </c>
      <c r="E50" t="s">
        <v>502</v>
      </c>
      <c r="F50" t="s">
        <v>423</v>
      </c>
      <c r="G50" t="s">
        <v>47</v>
      </c>
      <c r="H50" t="s">
        <v>503</v>
      </c>
      <c r="N50" t="s">
        <v>47</v>
      </c>
      <c r="O50" t="s">
        <v>47</v>
      </c>
      <c r="P50" t="s">
        <v>90</v>
      </c>
    </row>
    <row r="51" spans="1:16" ht="15" x14ac:dyDescent="0.25">
      <c r="A51">
        <f t="shared" si="1"/>
        <v>43</v>
      </c>
      <c r="E51" t="s">
        <v>504</v>
      </c>
      <c r="F51" t="s">
        <v>420</v>
      </c>
      <c r="G51" t="s">
        <v>47</v>
      </c>
      <c r="H51" t="s">
        <v>505</v>
      </c>
      <c r="N51" t="s">
        <v>47</v>
      </c>
      <c r="O51" t="s">
        <v>47</v>
      </c>
      <c r="P51" t="s">
        <v>90</v>
      </c>
    </row>
    <row r="52" spans="1:16" ht="15" x14ac:dyDescent="0.25">
      <c r="A52">
        <f t="shared" si="1"/>
        <v>44</v>
      </c>
      <c r="B52" t="s">
        <v>487</v>
      </c>
      <c r="E52" t="s">
        <v>506</v>
      </c>
      <c r="F52" t="s">
        <v>463</v>
      </c>
      <c r="G52" t="s">
        <v>47</v>
      </c>
      <c r="H52" t="s">
        <v>507</v>
      </c>
      <c r="N52" t="s">
        <v>47</v>
      </c>
      <c r="O52" t="s">
        <v>47</v>
      </c>
      <c r="P52" t="s">
        <v>90</v>
      </c>
    </row>
    <row r="53" spans="1:16" ht="15" x14ac:dyDescent="0.25">
      <c r="A53">
        <f t="shared" si="1"/>
        <v>45</v>
      </c>
      <c r="B53" t="s">
        <v>487</v>
      </c>
      <c r="E53" t="s">
        <v>508</v>
      </c>
      <c r="F53" t="s">
        <v>423</v>
      </c>
      <c r="G53" t="s">
        <v>47</v>
      </c>
      <c r="H53" t="s">
        <v>509</v>
      </c>
      <c r="N53" t="s">
        <v>47</v>
      </c>
      <c r="O53" t="s">
        <v>47</v>
      </c>
      <c r="P53" t="s">
        <v>90</v>
      </c>
    </row>
    <row r="54" spans="1:16" ht="15" x14ac:dyDescent="0.25">
      <c r="A54">
        <f t="shared" si="1"/>
        <v>46</v>
      </c>
      <c r="B54" t="s">
        <v>487</v>
      </c>
      <c r="E54" t="s">
        <v>510</v>
      </c>
      <c r="F54" t="s">
        <v>440</v>
      </c>
      <c r="G54" t="s">
        <v>47</v>
      </c>
      <c r="H54" t="s">
        <v>511</v>
      </c>
      <c r="N54" t="s">
        <v>47</v>
      </c>
      <c r="O54" t="s">
        <v>47</v>
      </c>
      <c r="P54" t="s">
        <v>90</v>
      </c>
    </row>
    <row r="55" spans="1:16" ht="15" x14ac:dyDescent="0.25">
      <c r="A55">
        <f t="shared" si="1"/>
        <v>47</v>
      </c>
      <c r="E55" t="s">
        <v>512</v>
      </c>
      <c r="F55" t="s">
        <v>423</v>
      </c>
      <c r="G55" t="s">
        <v>47</v>
      </c>
      <c r="H55" t="s">
        <v>513</v>
      </c>
      <c r="N55" t="s">
        <v>47</v>
      </c>
      <c r="O55" t="s">
        <v>47</v>
      </c>
      <c r="P55" t="s">
        <v>90</v>
      </c>
    </row>
    <row r="56" spans="1:16" ht="15" x14ac:dyDescent="0.25">
      <c r="A56">
        <f t="shared" si="1"/>
        <v>48</v>
      </c>
      <c r="E56" t="s">
        <v>514</v>
      </c>
      <c r="F56" t="s">
        <v>423</v>
      </c>
      <c r="G56" t="s">
        <v>47</v>
      </c>
      <c r="H56" t="s">
        <v>515</v>
      </c>
      <c r="N56" t="s">
        <v>47</v>
      </c>
      <c r="O56" t="s">
        <v>47</v>
      </c>
      <c r="P56" t="s">
        <v>90</v>
      </c>
    </row>
    <row r="57" spans="1:16" ht="15" x14ac:dyDescent="0.25">
      <c r="A57">
        <f t="shared" si="1"/>
        <v>49</v>
      </c>
      <c r="B57" t="s">
        <v>516</v>
      </c>
      <c r="E57" t="s">
        <v>517</v>
      </c>
      <c r="F57" t="s">
        <v>440</v>
      </c>
      <c r="G57" t="s">
        <v>47</v>
      </c>
      <c r="H57" t="s">
        <v>518</v>
      </c>
      <c r="N57" t="s">
        <v>47</v>
      </c>
      <c r="O57" t="s">
        <v>90</v>
      </c>
      <c r="P57" t="s">
        <v>90</v>
      </c>
    </row>
    <row r="58" spans="1:16" ht="15" x14ac:dyDescent="0.25">
      <c r="A58">
        <f t="shared" si="1"/>
        <v>50</v>
      </c>
      <c r="B58" t="s">
        <v>516</v>
      </c>
      <c r="E58" t="s">
        <v>519</v>
      </c>
      <c r="F58" t="s">
        <v>440</v>
      </c>
      <c r="G58" t="s">
        <v>47</v>
      </c>
      <c r="H58" t="s">
        <v>520</v>
      </c>
      <c r="N58" t="s">
        <v>47</v>
      </c>
      <c r="O58" t="s">
        <v>90</v>
      </c>
      <c r="P58" t="s">
        <v>90</v>
      </c>
    </row>
    <row r="59" spans="1:16" ht="15" x14ac:dyDescent="0.25">
      <c r="A59">
        <f t="shared" si="1"/>
        <v>51</v>
      </c>
      <c r="B59" t="s">
        <v>516</v>
      </c>
      <c r="E59" t="s">
        <v>521</v>
      </c>
      <c r="F59" t="s">
        <v>430</v>
      </c>
      <c r="G59" t="s">
        <v>47</v>
      </c>
      <c r="H59" t="s">
        <v>522</v>
      </c>
      <c r="N59" t="s">
        <v>47</v>
      </c>
      <c r="O59" t="s">
        <v>90</v>
      </c>
      <c r="P59" t="s">
        <v>90</v>
      </c>
    </row>
    <row r="60" spans="1:16" ht="15" x14ac:dyDescent="0.25">
      <c r="A60">
        <f t="shared" si="1"/>
        <v>52</v>
      </c>
      <c r="B60" t="s">
        <v>516</v>
      </c>
      <c r="E60" t="s">
        <v>523</v>
      </c>
      <c r="F60" t="s">
        <v>440</v>
      </c>
      <c r="G60" t="s">
        <v>47</v>
      </c>
      <c r="H60" t="s">
        <v>524</v>
      </c>
      <c r="N60" t="s">
        <v>47</v>
      </c>
      <c r="O60" t="s">
        <v>90</v>
      </c>
      <c r="P60" t="s">
        <v>90</v>
      </c>
    </row>
    <row r="61" spans="1:16" ht="15" x14ac:dyDescent="0.25">
      <c r="A61">
        <f t="shared" si="1"/>
        <v>53</v>
      </c>
      <c r="B61" t="s">
        <v>516</v>
      </c>
      <c r="E61" t="s">
        <v>525</v>
      </c>
      <c r="F61" t="s">
        <v>430</v>
      </c>
      <c r="G61" t="s">
        <v>47</v>
      </c>
      <c r="H61" t="s">
        <v>526</v>
      </c>
      <c r="N61" t="s">
        <v>47</v>
      </c>
      <c r="O61" t="s">
        <v>90</v>
      </c>
      <c r="P61" t="s">
        <v>90</v>
      </c>
    </row>
    <row r="62" spans="1:16" ht="15" x14ac:dyDescent="0.25">
      <c r="A62">
        <f t="shared" si="1"/>
        <v>54</v>
      </c>
      <c r="B62" t="s">
        <v>516</v>
      </c>
      <c r="E62" t="s">
        <v>527</v>
      </c>
      <c r="F62" t="s">
        <v>430</v>
      </c>
      <c r="G62" t="s">
        <v>47</v>
      </c>
      <c r="H62" t="s">
        <v>528</v>
      </c>
      <c r="N62" t="s">
        <v>47</v>
      </c>
      <c r="O62" t="s">
        <v>90</v>
      </c>
      <c r="P62" t="s">
        <v>90</v>
      </c>
    </row>
    <row r="63" spans="1:16" ht="15" x14ac:dyDescent="0.25">
      <c r="A63">
        <f t="shared" si="1"/>
        <v>55</v>
      </c>
      <c r="E63" t="s">
        <v>529</v>
      </c>
      <c r="F63" t="s">
        <v>415</v>
      </c>
      <c r="G63" t="s">
        <v>47</v>
      </c>
      <c r="H63" t="s">
        <v>530</v>
      </c>
      <c r="N63" t="s">
        <v>47</v>
      </c>
      <c r="O63" t="s">
        <v>90</v>
      </c>
      <c r="P63" t="s">
        <v>90</v>
      </c>
    </row>
    <row r="64" spans="1:16" ht="15" x14ac:dyDescent="0.25">
      <c r="A64">
        <f t="shared" si="1"/>
        <v>56</v>
      </c>
      <c r="E64" t="s">
        <v>531</v>
      </c>
      <c r="F64" t="s">
        <v>420</v>
      </c>
      <c r="G64" t="s">
        <v>47</v>
      </c>
      <c r="H64" t="s">
        <v>532</v>
      </c>
      <c r="N64" t="s">
        <v>47</v>
      </c>
      <c r="O64" t="s">
        <v>90</v>
      </c>
      <c r="P64" t="s">
        <v>47</v>
      </c>
    </row>
    <row r="65" spans="1:16" ht="15" x14ac:dyDescent="0.25">
      <c r="A65">
        <f t="shared" si="1"/>
        <v>57</v>
      </c>
      <c r="E65" t="s">
        <v>533</v>
      </c>
      <c r="F65" t="s">
        <v>430</v>
      </c>
      <c r="G65" t="s">
        <v>47</v>
      </c>
      <c r="H65" t="s">
        <v>534</v>
      </c>
      <c r="N65" t="s">
        <v>47</v>
      </c>
      <c r="O65" t="s">
        <v>90</v>
      </c>
      <c r="P65" t="s">
        <v>47</v>
      </c>
    </row>
    <row r="66" spans="1:16" ht="15" x14ac:dyDescent="0.25">
      <c r="A66">
        <f t="shared" si="1"/>
        <v>58</v>
      </c>
      <c r="E66" t="s">
        <v>535</v>
      </c>
      <c r="F66" t="s">
        <v>430</v>
      </c>
      <c r="G66" t="s">
        <v>47</v>
      </c>
      <c r="H66" t="s">
        <v>536</v>
      </c>
      <c r="N66" t="s">
        <v>47</v>
      </c>
      <c r="O66" t="s">
        <v>90</v>
      </c>
      <c r="P66" t="s">
        <v>47</v>
      </c>
    </row>
    <row r="67" spans="1:16" ht="15" x14ac:dyDescent="0.25">
      <c r="A67">
        <f t="shared" si="1"/>
        <v>59</v>
      </c>
      <c r="E67" t="s">
        <v>537</v>
      </c>
      <c r="F67" t="s">
        <v>423</v>
      </c>
      <c r="G67" t="s">
        <v>47</v>
      </c>
      <c r="H67" t="s">
        <v>538</v>
      </c>
      <c r="N67" t="s">
        <v>47</v>
      </c>
      <c r="O67" t="s">
        <v>90</v>
      </c>
      <c r="P67" t="s">
        <v>47</v>
      </c>
    </row>
    <row r="68" spans="1:16" ht="15" x14ac:dyDescent="0.25">
      <c r="A68">
        <f t="shared" si="1"/>
        <v>60</v>
      </c>
      <c r="E68" t="s">
        <v>539</v>
      </c>
      <c r="F68" t="s">
        <v>440</v>
      </c>
      <c r="G68" t="s">
        <v>47</v>
      </c>
      <c r="H68" t="s">
        <v>540</v>
      </c>
      <c r="N68" t="s">
        <v>47</v>
      </c>
      <c r="O68" t="s">
        <v>90</v>
      </c>
      <c r="P68" t="s">
        <v>47</v>
      </c>
    </row>
    <row r="69" spans="1:16" ht="15" x14ac:dyDescent="0.25">
      <c r="A69">
        <f t="shared" si="1"/>
        <v>61</v>
      </c>
      <c r="E69" t="s">
        <v>541</v>
      </c>
      <c r="F69" t="s">
        <v>430</v>
      </c>
      <c r="G69" t="s">
        <v>47</v>
      </c>
      <c r="H69" t="s">
        <v>542</v>
      </c>
      <c r="N69" t="s">
        <v>47</v>
      </c>
      <c r="O69" t="s">
        <v>90</v>
      </c>
      <c r="P69" t="s">
        <v>90</v>
      </c>
    </row>
    <row r="70" spans="1:16" ht="15" x14ac:dyDescent="0.25">
      <c r="A70">
        <f t="shared" si="1"/>
        <v>62</v>
      </c>
      <c r="E70" t="s">
        <v>543</v>
      </c>
      <c r="F70" t="s">
        <v>420</v>
      </c>
      <c r="G70" t="s">
        <v>47</v>
      </c>
      <c r="H70" t="s">
        <v>544</v>
      </c>
      <c r="N70" t="s">
        <v>47</v>
      </c>
      <c r="O70" t="s">
        <v>90</v>
      </c>
      <c r="P70" t="s">
        <v>47</v>
      </c>
    </row>
    <row r="71" spans="1:16" ht="15" x14ac:dyDescent="0.25">
      <c r="A71">
        <f t="shared" si="1"/>
        <v>63</v>
      </c>
      <c r="E71" t="s">
        <v>545</v>
      </c>
      <c r="F71" t="s">
        <v>415</v>
      </c>
      <c r="G71" t="s">
        <v>47</v>
      </c>
      <c r="H71" t="s">
        <v>546</v>
      </c>
      <c r="N71" t="s">
        <v>47</v>
      </c>
      <c r="O71" t="s">
        <v>90</v>
      </c>
      <c r="P71" t="s">
        <v>47</v>
      </c>
    </row>
    <row r="72" spans="1:16" ht="15" x14ac:dyDescent="0.25">
      <c r="A72">
        <f t="shared" si="1"/>
        <v>64</v>
      </c>
      <c r="E72" t="s">
        <v>547</v>
      </c>
      <c r="F72" t="s">
        <v>420</v>
      </c>
      <c r="G72" t="s">
        <v>47</v>
      </c>
      <c r="H72" t="s">
        <v>548</v>
      </c>
      <c r="N72" t="s">
        <v>47</v>
      </c>
      <c r="O72" t="s">
        <v>90</v>
      </c>
      <c r="P72" t="s">
        <v>47</v>
      </c>
    </row>
    <row r="73" spans="1:16" ht="15" x14ac:dyDescent="0.25">
      <c r="A73">
        <f t="shared" si="1"/>
        <v>65</v>
      </c>
      <c r="E73" t="s">
        <v>549</v>
      </c>
      <c r="F73" t="s">
        <v>430</v>
      </c>
      <c r="G73" t="s">
        <v>47</v>
      </c>
      <c r="H73" t="s">
        <v>550</v>
      </c>
      <c r="N73" t="s">
        <v>47</v>
      </c>
      <c r="O73" t="s">
        <v>90</v>
      </c>
      <c r="P73" t="s">
        <v>47</v>
      </c>
    </row>
    <row r="74" spans="1:16" ht="15" x14ac:dyDescent="0.25">
      <c r="A74">
        <f t="shared" ref="A74:A105" si="2">A73+1</f>
        <v>66</v>
      </c>
      <c r="E74" t="s">
        <v>551</v>
      </c>
      <c r="F74" t="s">
        <v>440</v>
      </c>
      <c r="G74" t="s">
        <v>47</v>
      </c>
      <c r="H74" t="s">
        <v>552</v>
      </c>
      <c r="N74" t="s">
        <v>47</v>
      </c>
      <c r="O74" t="s">
        <v>90</v>
      </c>
      <c r="P74" t="s">
        <v>47</v>
      </c>
    </row>
    <row r="75" spans="1:16" ht="15" x14ac:dyDescent="0.25">
      <c r="A75">
        <f t="shared" si="2"/>
        <v>67</v>
      </c>
      <c r="E75" t="s">
        <v>553</v>
      </c>
      <c r="F75" t="s">
        <v>554</v>
      </c>
      <c r="G75" t="s">
        <v>47</v>
      </c>
      <c r="H75" t="s">
        <v>555</v>
      </c>
      <c r="N75" t="s">
        <v>47</v>
      </c>
      <c r="O75" t="s">
        <v>47</v>
      </c>
      <c r="P75" t="s">
        <v>90</v>
      </c>
    </row>
    <row r="76" spans="1:16" ht="15" x14ac:dyDescent="0.25">
      <c r="A76">
        <f t="shared" si="2"/>
        <v>68</v>
      </c>
      <c r="E76" t="s">
        <v>556</v>
      </c>
      <c r="F76" t="s">
        <v>554</v>
      </c>
      <c r="G76" t="s">
        <v>47</v>
      </c>
      <c r="H76" t="s">
        <v>557</v>
      </c>
      <c r="N76" t="s">
        <v>47</v>
      </c>
      <c r="O76" t="s">
        <v>47</v>
      </c>
      <c r="P76" t="s">
        <v>90</v>
      </c>
    </row>
    <row r="77" spans="1:16" ht="15" x14ac:dyDescent="0.25">
      <c r="A77">
        <f t="shared" si="2"/>
        <v>69</v>
      </c>
      <c r="B77" t="s">
        <v>558</v>
      </c>
      <c r="E77" t="s">
        <v>559</v>
      </c>
      <c r="F77" t="s">
        <v>440</v>
      </c>
      <c r="G77" t="s">
        <v>47</v>
      </c>
      <c r="H77" t="s">
        <v>560</v>
      </c>
      <c r="N77" t="s">
        <v>47</v>
      </c>
      <c r="O77" t="s">
        <v>90</v>
      </c>
      <c r="P77" t="s">
        <v>47</v>
      </c>
    </row>
    <row r="78" spans="1:16" ht="15" x14ac:dyDescent="0.25">
      <c r="A78">
        <f t="shared" si="2"/>
        <v>70</v>
      </c>
      <c r="E78" t="s">
        <v>561</v>
      </c>
      <c r="F78" t="s">
        <v>415</v>
      </c>
      <c r="G78" t="s">
        <v>47</v>
      </c>
      <c r="H78" t="s">
        <v>562</v>
      </c>
      <c r="N78" t="s">
        <v>47</v>
      </c>
      <c r="O78" t="s">
        <v>90</v>
      </c>
      <c r="P78" t="s">
        <v>47</v>
      </c>
    </row>
    <row r="79" spans="1:16" ht="15" x14ac:dyDescent="0.25">
      <c r="A79">
        <f t="shared" si="2"/>
        <v>71</v>
      </c>
      <c r="B79" t="s">
        <v>558</v>
      </c>
      <c r="E79" t="s">
        <v>563</v>
      </c>
      <c r="F79" t="s">
        <v>430</v>
      </c>
      <c r="G79" t="s">
        <v>47</v>
      </c>
      <c r="H79" t="s">
        <v>564</v>
      </c>
      <c r="N79" t="s">
        <v>47</v>
      </c>
      <c r="O79" t="s">
        <v>90</v>
      </c>
      <c r="P79" t="s">
        <v>47</v>
      </c>
    </row>
    <row r="80" spans="1:16" ht="15" x14ac:dyDescent="0.25">
      <c r="A80">
        <f t="shared" si="2"/>
        <v>72</v>
      </c>
      <c r="B80" t="s">
        <v>558</v>
      </c>
      <c r="E80" t="s">
        <v>565</v>
      </c>
      <c r="F80" t="s">
        <v>440</v>
      </c>
      <c r="G80" t="s">
        <v>47</v>
      </c>
      <c r="H80" t="s">
        <v>566</v>
      </c>
      <c r="N80" t="s">
        <v>47</v>
      </c>
      <c r="O80" t="s">
        <v>90</v>
      </c>
      <c r="P80" t="s">
        <v>47</v>
      </c>
    </row>
    <row r="81" spans="1:16" ht="15" x14ac:dyDescent="0.25">
      <c r="A81">
        <f t="shared" si="2"/>
        <v>73</v>
      </c>
      <c r="E81" t="s">
        <v>567</v>
      </c>
      <c r="F81" t="s">
        <v>415</v>
      </c>
      <c r="G81" t="s">
        <v>47</v>
      </c>
      <c r="H81" t="s">
        <v>568</v>
      </c>
      <c r="N81" t="s">
        <v>47</v>
      </c>
      <c r="O81" t="s">
        <v>90</v>
      </c>
      <c r="P81" t="s">
        <v>47</v>
      </c>
    </row>
    <row r="82" spans="1:16" ht="15" x14ac:dyDescent="0.25">
      <c r="A82">
        <f t="shared" si="2"/>
        <v>74</v>
      </c>
      <c r="B82" t="s">
        <v>558</v>
      </c>
      <c r="E82" t="s">
        <v>569</v>
      </c>
      <c r="F82" t="s">
        <v>430</v>
      </c>
      <c r="G82" t="s">
        <v>47</v>
      </c>
      <c r="H82" t="s">
        <v>570</v>
      </c>
      <c r="N82" t="s">
        <v>47</v>
      </c>
      <c r="O82" t="s">
        <v>90</v>
      </c>
      <c r="P82" t="s">
        <v>47</v>
      </c>
    </row>
    <row r="83" spans="1:16" ht="15" x14ac:dyDescent="0.25">
      <c r="A83">
        <f t="shared" si="2"/>
        <v>75</v>
      </c>
      <c r="B83" t="s">
        <v>558</v>
      </c>
      <c r="E83" t="s">
        <v>571</v>
      </c>
      <c r="F83" t="s">
        <v>463</v>
      </c>
      <c r="G83" t="s">
        <v>47</v>
      </c>
      <c r="H83" t="s">
        <v>572</v>
      </c>
      <c r="N83" t="s">
        <v>47</v>
      </c>
      <c r="O83" t="s">
        <v>47</v>
      </c>
      <c r="P83" t="s">
        <v>90</v>
      </c>
    </row>
    <row r="84" spans="1:16" ht="15" x14ac:dyDescent="0.25">
      <c r="A84">
        <f t="shared" si="2"/>
        <v>76</v>
      </c>
      <c r="B84" t="s">
        <v>558</v>
      </c>
      <c r="E84" t="s">
        <v>573</v>
      </c>
      <c r="F84" t="s">
        <v>423</v>
      </c>
      <c r="G84" t="s">
        <v>47</v>
      </c>
      <c r="H84" t="s">
        <v>574</v>
      </c>
      <c r="N84" t="s">
        <v>47</v>
      </c>
      <c r="O84" t="s">
        <v>47</v>
      </c>
      <c r="P84" t="s">
        <v>90</v>
      </c>
    </row>
    <row r="85" spans="1:16" ht="15" x14ac:dyDescent="0.25">
      <c r="A85">
        <f t="shared" si="2"/>
        <v>77</v>
      </c>
      <c r="E85" t="s">
        <v>575</v>
      </c>
      <c r="F85" t="s">
        <v>415</v>
      </c>
      <c r="G85" t="s">
        <v>47</v>
      </c>
      <c r="H85" t="s">
        <v>576</v>
      </c>
      <c r="N85" t="s">
        <v>47</v>
      </c>
      <c r="O85" t="s">
        <v>90</v>
      </c>
      <c r="P85" t="s">
        <v>90</v>
      </c>
    </row>
    <row r="86" spans="1:16" ht="15" x14ac:dyDescent="0.25">
      <c r="A86">
        <f t="shared" si="2"/>
        <v>78</v>
      </c>
      <c r="E86" t="s">
        <v>577</v>
      </c>
      <c r="F86" t="s">
        <v>415</v>
      </c>
      <c r="G86" t="s">
        <v>47</v>
      </c>
      <c r="H86" t="s">
        <v>578</v>
      </c>
      <c r="N86" t="s">
        <v>47</v>
      </c>
      <c r="O86" t="s">
        <v>90</v>
      </c>
      <c r="P86" t="s">
        <v>47</v>
      </c>
    </row>
    <row r="87" spans="1:16" ht="15" x14ac:dyDescent="0.25">
      <c r="A87">
        <f t="shared" si="2"/>
        <v>79</v>
      </c>
      <c r="E87" t="s">
        <v>579</v>
      </c>
      <c r="F87" t="s">
        <v>463</v>
      </c>
      <c r="G87" t="s">
        <v>47</v>
      </c>
      <c r="H87" t="s">
        <v>580</v>
      </c>
      <c r="N87" t="s">
        <v>47</v>
      </c>
      <c r="O87" t="s">
        <v>90</v>
      </c>
      <c r="P87" t="s">
        <v>90</v>
      </c>
    </row>
    <row r="88" spans="1:16" ht="15" x14ac:dyDescent="0.25">
      <c r="A88">
        <f t="shared" si="2"/>
        <v>80</v>
      </c>
      <c r="E88" t="s">
        <v>581</v>
      </c>
      <c r="F88" t="s">
        <v>423</v>
      </c>
      <c r="G88" t="s">
        <v>47</v>
      </c>
      <c r="H88" t="s">
        <v>582</v>
      </c>
      <c r="N88" t="s">
        <v>47</v>
      </c>
      <c r="O88" t="s">
        <v>90</v>
      </c>
      <c r="P88" t="s">
        <v>47</v>
      </c>
    </row>
    <row r="89" spans="1:16" ht="15" x14ac:dyDescent="0.25">
      <c r="A89">
        <f t="shared" si="2"/>
        <v>81</v>
      </c>
      <c r="E89" t="s">
        <v>583</v>
      </c>
      <c r="F89" t="s">
        <v>420</v>
      </c>
      <c r="G89" t="s">
        <v>47</v>
      </c>
      <c r="H89" t="s">
        <v>584</v>
      </c>
      <c r="N89" t="s">
        <v>47</v>
      </c>
      <c r="O89" t="s">
        <v>90</v>
      </c>
      <c r="P89" t="s">
        <v>47</v>
      </c>
    </row>
    <row r="90" spans="1:16" ht="15" x14ac:dyDescent="0.25">
      <c r="A90">
        <f t="shared" si="2"/>
        <v>82</v>
      </c>
      <c r="E90" t="s">
        <v>585</v>
      </c>
      <c r="F90" t="s">
        <v>420</v>
      </c>
      <c r="G90" t="s">
        <v>47</v>
      </c>
      <c r="H90" t="s">
        <v>586</v>
      </c>
      <c r="N90" t="s">
        <v>47</v>
      </c>
      <c r="O90" t="s">
        <v>90</v>
      </c>
      <c r="P90" t="s">
        <v>47</v>
      </c>
    </row>
    <row r="91" spans="1:16" ht="15" x14ac:dyDescent="0.25">
      <c r="A91">
        <f t="shared" si="2"/>
        <v>83</v>
      </c>
      <c r="E91" t="s">
        <v>587</v>
      </c>
      <c r="F91" t="s">
        <v>420</v>
      </c>
      <c r="G91" t="s">
        <v>47</v>
      </c>
      <c r="H91" t="s">
        <v>588</v>
      </c>
      <c r="N91" t="s">
        <v>47</v>
      </c>
      <c r="O91" t="s">
        <v>90</v>
      </c>
      <c r="P91" t="s">
        <v>47</v>
      </c>
    </row>
    <row r="92" spans="1:16" ht="15" x14ac:dyDescent="0.25">
      <c r="A92">
        <f t="shared" si="2"/>
        <v>84</v>
      </c>
      <c r="E92" t="s">
        <v>589</v>
      </c>
      <c r="F92" t="s">
        <v>430</v>
      </c>
      <c r="G92" t="s">
        <v>47</v>
      </c>
      <c r="H92" t="s">
        <v>590</v>
      </c>
      <c r="N92" t="s">
        <v>47</v>
      </c>
      <c r="O92" t="s">
        <v>90</v>
      </c>
      <c r="P92" t="s">
        <v>47</v>
      </c>
    </row>
    <row r="93" spans="1:16" ht="15" x14ac:dyDescent="0.25">
      <c r="A93">
        <f t="shared" si="2"/>
        <v>85</v>
      </c>
      <c r="B93" t="s">
        <v>591</v>
      </c>
      <c r="E93" t="s">
        <v>592</v>
      </c>
      <c r="F93" t="s">
        <v>420</v>
      </c>
      <c r="G93" t="s">
        <v>47</v>
      </c>
      <c r="H93" t="s">
        <v>593</v>
      </c>
      <c r="N93" t="s">
        <v>47</v>
      </c>
      <c r="O93" t="s">
        <v>90</v>
      </c>
      <c r="P93" t="s">
        <v>47</v>
      </c>
    </row>
    <row r="94" spans="1:16" ht="15" x14ac:dyDescent="0.25">
      <c r="A94">
        <f t="shared" si="2"/>
        <v>86</v>
      </c>
      <c r="B94" t="s">
        <v>591</v>
      </c>
      <c r="E94" t="s">
        <v>594</v>
      </c>
      <c r="F94" t="s">
        <v>415</v>
      </c>
      <c r="G94" t="s">
        <v>47</v>
      </c>
      <c r="H94" t="s">
        <v>595</v>
      </c>
      <c r="N94" t="s">
        <v>47</v>
      </c>
      <c r="O94" t="s">
        <v>90</v>
      </c>
      <c r="P94" t="s">
        <v>47</v>
      </c>
    </row>
    <row r="95" spans="1:16" ht="15" x14ac:dyDescent="0.25">
      <c r="A95">
        <f t="shared" si="2"/>
        <v>87</v>
      </c>
      <c r="B95" t="s">
        <v>591</v>
      </c>
      <c r="E95" t="s">
        <v>596</v>
      </c>
      <c r="F95" t="s">
        <v>430</v>
      </c>
      <c r="G95" t="s">
        <v>47</v>
      </c>
      <c r="H95" t="s">
        <v>597</v>
      </c>
      <c r="N95" t="s">
        <v>47</v>
      </c>
      <c r="O95" t="s">
        <v>90</v>
      </c>
      <c r="P95" t="s">
        <v>47</v>
      </c>
    </row>
    <row r="96" spans="1:16" ht="15" x14ac:dyDescent="0.25">
      <c r="A96">
        <f t="shared" si="2"/>
        <v>88</v>
      </c>
      <c r="E96" t="s">
        <v>598</v>
      </c>
      <c r="F96" t="s">
        <v>430</v>
      </c>
      <c r="G96" t="s">
        <v>47</v>
      </c>
      <c r="H96" t="s">
        <v>599</v>
      </c>
      <c r="N96" t="s">
        <v>47</v>
      </c>
      <c r="O96" t="s">
        <v>90</v>
      </c>
      <c r="P96" t="s">
        <v>90</v>
      </c>
    </row>
    <row r="97" spans="1:16" ht="15" x14ac:dyDescent="0.25">
      <c r="A97">
        <f t="shared" si="2"/>
        <v>89</v>
      </c>
      <c r="B97" t="s">
        <v>600</v>
      </c>
      <c r="E97" t="s">
        <v>601</v>
      </c>
      <c r="F97" t="s">
        <v>423</v>
      </c>
      <c r="G97" t="s">
        <v>47</v>
      </c>
      <c r="H97" t="s">
        <v>602</v>
      </c>
      <c r="N97" t="s">
        <v>47</v>
      </c>
      <c r="O97" t="s">
        <v>90</v>
      </c>
      <c r="P97" t="s">
        <v>47</v>
      </c>
    </row>
    <row r="98" spans="1:16" ht="15" x14ac:dyDescent="0.25">
      <c r="A98">
        <f t="shared" si="2"/>
        <v>90</v>
      </c>
      <c r="B98" t="s">
        <v>600</v>
      </c>
      <c r="E98" t="s">
        <v>603</v>
      </c>
      <c r="F98" t="s">
        <v>423</v>
      </c>
      <c r="G98" t="s">
        <v>47</v>
      </c>
      <c r="H98" t="s">
        <v>604</v>
      </c>
      <c r="N98" t="s">
        <v>47</v>
      </c>
      <c r="O98" t="s">
        <v>90</v>
      </c>
      <c r="P98" t="s">
        <v>47</v>
      </c>
    </row>
    <row r="99" spans="1:16" ht="15" x14ac:dyDescent="0.25">
      <c r="A99">
        <f t="shared" si="2"/>
        <v>91</v>
      </c>
      <c r="E99" t="s">
        <v>600</v>
      </c>
      <c r="F99" t="s">
        <v>415</v>
      </c>
      <c r="G99" t="s">
        <v>47</v>
      </c>
      <c r="H99" t="s">
        <v>605</v>
      </c>
      <c r="N99" t="s">
        <v>47</v>
      </c>
      <c r="O99" t="s">
        <v>90</v>
      </c>
      <c r="P99" t="s">
        <v>47</v>
      </c>
    </row>
    <row r="100" spans="1:16" ht="15" x14ac:dyDescent="0.25">
      <c r="A100">
        <f t="shared" si="2"/>
        <v>92</v>
      </c>
      <c r="E100" t="s">
        <v>606</v>
      </c>
      <c r="F100" t="s">
        <v>423</v>
      </c>
      <c r="G100" t="s">
        <v>47</v>
      </c>
      <c r="H100" t="s">
        <v>607</v>
      </c>
      <c r="N100" t="s">
        <v>47</v>
      </c>
      <c r="O100" t="s">
        <v>47</v>
      </c>
      <c r="P100" t="s">
        <v>90</v>
      </c>
    </row>
    <row r="101" spans="1:16" ht="15" x14ac:dyDescent="0.25">
      <c r="A101">
        <f t="shared" si="2"/>
        <v>93</v>
      </c>
      <c r="E101" t="s">
        <v>608</v>
      </c>
      <c r="F101" t="s">
        <v>423</v>
      </c>
      <c r="G101" t="s">
        <v>47</v>
      </c>
      <c r="H101" t="s">
        <v>609</v>
      </c>
      <c r="N101" t="s">
        <v>47</v>
      </c>
      <c r="O101" t="s">
        <v>90</v>
      </c>
      <c r="P101" t="s">
        <v>47</v>
      </c>
    </row>
    <row r="102" spans="1:16" ht="15" x14ac:dyDescent="0.25">
      <c r="A102">
        <f t="shared" si="2"/>
        <v>94</v>
      </c>
      <c r="B102" t="s">
        <v>610</v>
      </c>
      <c r="E102" t="s">
        <v>611</v>
      </c>
      <c r="F102" t="s">
        <v>440</v>
      </c>
      <c r="G102" t="s">
        <v>47</v>
      </c>
      <c r="H102" t="s">
        <v>612</v>
      </c>
      <c r="N102" t="s">
        <v>47</v>
      </c>
      <c r="O102" t="s">
        <v>90</v>
      </c>
      <c r="P102" t="s">
        <v>47</v>
      </c>
    </row>
    <row r="103" spans="1:16" ht="15" x14ac:dyDescent="0.25">
      <c r="A103">
        <f t="shared" si="2"/>
        <v>95</v>
      </c>
      <c r="B103" t="s">
        <v>610</v>
      </c>
      <c r="E103" t="s">
        <v>613</v>
      </c>
      <c r="F103" t="s">
        <v>423</v>
      </c>
      <c r="G103" t="s">
        <v>47</v>
      </c>
      <c r="H103" t="s">
        <v>614</v>
      </c>
      <c r="N103" t="s">
        <v>47</v>
      </c>
      <c r="O103" t="s">
        <v>90</v>
      </c>
      <c r="P103" t="s">
        <v>47</v>
      </c>
    </row>
    <row r="104" spans="1:16" ht="15" x14ac:dyDescent="0.25">
      <c r="A104">
        <f t="shared" si="2"/>
        <v>96</v>
      </c>
      <c r="B104" t="s">
        <v>610</v>
      </c>
      <c r="E104" t="s">
        <v>615</v>
      </c>
      <c r="F104" t="s">
        <v>430</v>
      </c>
      <c r="G104" t="s">
        <v>47</v>
      </c>
      <c r="H104" t="s">
        <v>616</v>
      </c>
      <c r="N104" t="s">
        <v>47</v>
      </c>
      <c r="O104" t="s">
        <v>90</v>
      </c>
      <c r="P104" t="s">
        <v>47</v>
      </c>
    </row>
    <row r="105" spans="1:16" ht="15" x14ac:dyDescent="0.25">
      <c r="A105">
        <f t="shared" si="2"/>
        <v>97</v>
      </c>
      <c r="F105" t="s">
        <v>415</v>
      </c>
      <c r="G105" t="s">
        <v>47</v>
      </c>
      <c r="H105" t="s">
        <v>610</v>
      </c>
      <c r="N105" t="s">
        <v>47</v>
      </c>
      <c r="O105" t="s">
        <v>90</v>
      </c>
      <c r="P105" t="s">
        <v>47</v>
      </c>
    </row>
    <row r="106" spans="1:16" ht="15" x14ac:dyDescent="0.25">
      <c r="A106">
        <f t="shared" ref="A106:A128" si="3">A105+1</f>
        <v>98</v>
      </c>
      <c r="E106" t="s">
        <v>617</v>
      </c>
      <c r="F106" t="s">
        <v>420</v>
      </c>
      <c r="G106" t="s">
        <v>47</v>
      </c>
      <c r="H106" t="s">
        <v>618</v>
      </c>
      <c r="N106" t="s">
        <v>47</v>
      </c>
      <c r="O106" t="s">
        <v>90</v>
      </c>
      <c r="P106" t="s">
        <v>47</v>
      </c>
    </row>
    <row r="107" spans="1:16" ht="15" x14ac:dyDescent="0.25">
      <c r="A107">
        <f t="shared" si="3"/>
        <v>99</v>
      </c>
      <c r="E107" t="s">
        <v>619</v>
      </c>
      <c r="F107" t="s">
        <v>440</v>
      </c>
      <c r="G107" t="s">
        <v>47</v>
      </c>
      <c r="H107" t="s">
        <v>620</v>
      </c>
      <c r="N107" t="s">
        <v>47</v>
      </c>
      <c r="O107" t="s">
        <v>90</v>
      </c>
      <c r="P107" t="s">
        <v>47</v>
      </c>
    </row>
    <row r="108" spans="1:16" ht="15" x14ac:dyDescent="0.25">
      <c r="A108">
        <f t="shared" si="3"/>
        <v>100</v>
      </c>
      <c r="E108" t="s">
        <v>621</v>
      </c>
      <c r="F108" t="s">
        <v>430</v>
      </c>
      <c r="G108" t="s">
        <v>47</v>
      </c>
      <c r="H108" t="s">
        <v>622</v>
      </c>
      <c r="N108" t="s">
        <v>47</v>
      </c>
      <c r="O108" t="s">
        <v>90</v>
      </c>
      <c r="P108" t="s">
        <v>90</v>
      </c>
    </row>
    <row r="109" spans="1:16" ht="15" x14ac:dyDescent="0.25">
      <c r="A109">
        <f t="shared" si="3"/>
        <v>101</v>
      </c>
      <c r="E109" t="s">
        <v>623</v>
      </c>
      <c r="F109" t="s">
        <v>430</v>
      </c>
      <c r="G109" t="s">
        <v>47</v>
      </c>
      <c r="H109" t="s">
        <v>624</v>
      </c>
      <c r="N109" t="s">
        <v>47</v>
      </c>
      <c r="O109" t="s">
        <v>90</v>
      </c>
      <c r="P109" t="s">
        <v>47</v>
      </c>
    </row>
    <row r="110" spans="1:16" ht="15" x14ac:dyDescent="0.25">
      <c r="A110">
        <f t="shared" si="3"/>
        <v>102</v>
      </c>
      <c r="E110" t="s">
        <v>625</v>
      </c>
      <c r="F110" t="s">
        <v>430</v>
      </c>
      <c r="G110" t="s">
        <v>47</v>
      </c>
      <c r="H110" t="s">
        <v>626</v>
      </c>
      <c r="N110" t="s">
        <v>47</v>
      </c>
      <c r="O110" t="s">
        <v>90</v>
      </c>
      <c r="P110" t="s">
        <v>47</v>
      </c>
    </row>
    <row r="111" spans="1:16" ht="15" x14ac:dyDescent="0.25">
      <c r="A111">
        <f t="shared" si="3"/>
        <v>103</v>
      </c>
      <c r="E111" t="s">
        <v>627</v>
      </c>
      <c r="F111" t="s">
        <v>430</v>
      </c>
      <c r="G111" t="s">
        <v>47</v>
      </c>
      <c r="H111" t="s">
        <v>628</v>
      </c>
      <c r="N111" t="s">
        <v>47</v>
      </c>
      <c r="O111" t="s">
        <v>90</v>
      </c>
      <c r="P111" t="s">
        <v>47</v>
      </c>
    </row>
    <row r="112" spans="1:16" ht="15" x14ac:dyDescent="0.25">
      <c r="A112">
        <f t="shared" si="3"/>
        <v>104</v>
      </c>
      <c r="E112" t="s">
        <v>629</v>
      </c>
      <c r="F112" t="s">
        <v>415</v>
      </c>
      <c r="G112" t="s">
        <v>47</v>
      </c>
      <c r="H112" t="s">
        <v>630</v>
      </c>
      <c r="N112" t="s">
        <v>47</v>
      </c>
      <c r="O112" t="s">
        <v>47</v>
      </c>
      <c r="P112" t="s">
        <v>90</v>
      </c>
    </row>
    <row r="113" spans="1:16" ht="15" x14ac:dyDescent="0.25">
      <c r="A113">
        <f t="shared" si="3"/>
        <v>105</v>
      </c>
      <c r="E113" t="s">
        <v>631</v>
      </c>
      <c r="F113" t="s">
        <v>440</v>
      </c>
      <c r="G113" t="s">
        <v>47</v>
      </c>
      <c r="H113" t="s">
        <v>632</v>
      </c>
      <c r="N113" t="s">
        <v>47</v>
      </c>
      <c r="O113" t="s">
        <v>47</v>
      </c>
      <c r="P113" t="s">
        <v>90</v>
      </c>
    </row>
    <row r="114" spans="1:16" ht="15" x14ac:dyDescent="0.25">
      <c r="A114">
        <f t="shared" si="3"/>
        <v>106</v>
      </c>
      <c r="E114" t="s">
        <v>633</v>
      </c>
      <c r="F114" t="s">
        <v>430</v>
      </c>
      <c r="G114" t="s">
        <v>47</v>
      </c>
      <c r="H114" t="s">
        <v>634</v>
      </c>
      <c r="N114" t="s">
        <v>47</v>
      </c>
      <c r="O114" t="s">
        <v>47</v>
      </c>
      <c r="P114" t="s">
        <v>90</v>
      </c>
    </row>
    <row r="115" spans="1:16" ht="15" x14ac:dyDescent="0.25">
      <c r="A115">
        <f t="shared" si="3"/>
        <v>107</v>
      </c>
      <c r="E115" t="s">
        <v>635</v>
      </c>
      <c r="F115" t="s">
        <v>430</v>
      </c>
      <c r="G115" t="s">
        <v>47</v>
      </c>
      <c r="H115" t="s">
        <v>636</v>
      </c>
      <c r="N115" t="s">
        <v>47</v>
      </c>
      <c r="O115" t="s">
        <v>47</v>
      </c>
      <c r="P115" t="s">
        <v>90</v>
      </c>
    </row>
    <row r="116" spans="1:16" ht="15" x14ac:dyDescent="0.25">
      <c r="A116">
        <f t="shared" si="3"/>
        <v>108</v>
      </c>
      <c r="E116" t="s">
        <v>547</v>
      </c>
      <c r="F116" t="s">
        <v>420</v>
      </c>
      <c r="G116" t="s">
        <v>47</v>
      </c>
      <c r="H116" t="s">
        <v>637</v>
      </c>
      <c r="N116" t="s">
        <v>47</v>
      </c>
      <c r="O116" t="s">
        <v>47</v>
      </c>
      <c r="P116" t="s">
        <v>90</v>
      </c>
    </row>
    <row r="117" spans="1:16" ht="15" x14ac:dyDescent="0.25">
      <c r="A117">
        <f t="shared" si="3"/>
        <v>109</v>
      </c>
      <c r="B117" t="s">
        <v>638</v>
      </c>
      <c r="E117" t="s">
        <v>639</v>
      </c>
      <c r="F117" t="s">
        <v>423</v>
      </c>
      <c r="G117" t="s">
        <v>47</v>
      </c>
      <c r="H117" t="s">
        <v>638</v>
      </c>
      <c r="N117" t="s">
        <v>47</v>
      </c>
      <c r="O117" t="s">
        <v>47</v>
      </c>
      <c r="P117" t="s">
        <v>90</v>
      </c>
    </row>
    <row r="118" spans="1:16" ht="15" x14ac:dyDescent="0.25">
      <c r="A118">
        <f t="shared" si="3"/>
        <v>110</v>
      </c>
      <c r="E118" t="s">
        <v>640</v>
      </c>
      <c r="F118" t="s">
        <v>420</v>
      </c>
      <c r="G118" t="s">
        <v>47</v>
      </c>
      <c r="H118" t="s">
        <v>641</v>
      </c>
      <c r="N118" t="s">
        <v>47</v>
      </c>
      <c r="O118" t="s">
        <v>90</v>
      </c>
      <c r="P118" t="s">
        <v>47</v>
      </c>
    </row>
    <row r="119" spans="1:16" ht="15" x14ac:dyDescent="0.25">
      <c r="A119">
        <f t="shared" si="3"/>
        <v>111</v>
      </c>
      <c r="E119" t="s">
        <v>642</v>
      </c>
      <c r="F119" t="s">
        <v>420</v>
      </c>
      <c r="G119" t="s">
        <v>47</v>
      </c>
      <c r="H119" t="s">
        <v>643</v>
      </c>
      <c r="N119" t="s">
        <v>47</v>
      </c>
      <c r="O119" t="s">
        <v>90</v>
      </c>
      <c r="P119" t="s">
        <v>47</v>
      </c>
    </row>
    <row r="120" spans="1:16" ht="15" x14ac:dyDescent="0.25">
      <c r="A120">
        <f t="shared" si="3"/>
        <v>112</v>
      </c>
      <c r="E120" t="s">
        <v>644</v>
      </c>
      <c r="F120" t="s">
        <v>420</v>
      </c>
      <c r="G120" t="s">
        <v>47</v>
      </c>
      <c r="H120" t="s">
        <v>645</v>
      </c>
      <c r="N120" t="s">
        <v>47</v>
      </c>
      <c r="O120" t="s">
        <v>90</v>
      </c>
      <c r="P120" t="s">
        <v>47</v>
      </c>
    </row>
    <row r="121" spans="1:16" ht="15" x14ac:dyDescent="0.25">
      <c r="A121">
        <f t="shared" si="3"/>
        <v>113</v>
      </c>
      <c r="E121" t="s">
        <v>646</v>
      </c>
      <c r="F121" t="s">
        <v>415</v>
      </c>
      <c r="G121" t="s">
        <v>47</v>
      </c>
      <c r="H121" t="s">
        <v>647</v>
      </c>
      <c r="N121" t="s">
        <v>47</v>
      </c>
      <c r="O121" t="s">
        <v>90</v>
      </c>
      <c r="P121" t="s">
        <v>47</v>
      </c>
    </row>
    <row r="122" spans="1:16" ht="15" x14ac:dyDescent="0.25">
      <c r="A122">
        <f t="shared" si="3"/>
        <v>114</v>
      </c>
      <c r="E122" t="s">
        <v>648</v>
      </c>
      <c r="F122" t="s">
        <v>440</v>
      </c>
      <c r="G122" t="s">
        <v>47</v>
      </c>
      <c r="H122" t="s">
        <v>649</v>
      </c>
      <c r="N122" t="s">
        <v>47</v>
      </c>
      <c r="O122" t="s">
        <v>90</v>
      </c>
      <c r="P122" t="s">
        <v>47</v>
      </c>
    </row>
    <row r="123" spans="1:16" ht="15" x14ac:dyDescent="0.25">
      <c r="A123">
        <f t="shared" si="3"/>
        <v>115</v>
      </c>
      <c r="E123" t="s">
        <v>650</v>
      </c>
      <c r="F123" t="s">
        <v>455</v>
      </c>
      <c r="G123" t="s">
        <v>47</v>
      </c>
      <c r="H123" t="s">
        <v>651</v>
      </c>
      <c r="N123" t="s">
        <v>47</v>
      </c>
      <c r="O123" t="s">
        <v>90</v>
      </c>
      <c r="P123" t="s">
        <v>90</v>
      </c>
    </row>
    <row r="124" spans="1:16" ht="15" x14ac:dyDescent="0.25">
      <c r="A124">
        <f t="shared" si="3"/>
        <v>116</v>
      </c>
      <c r="E124" t="s">
        <v>652</v>
      </c>
      <c r="F124" t="s">
        <v>415</v>
      </c>
      <c r="G124" t="s">
        <v>47</v>
      </c>
      <c r="H124" t="s">
        <v>653</v>
      </c>
      <c r="N124" t="s">
        <v>47</v>
      </c>
      <c r="O124" t="s">
        <v>90</v>
      </c>
      <c r="P124" t="s">
        <v>90</v>
      </c>
    </row>
    <row r="125" spans="1:16" ht="15" x14ac:dyDescent="0.25">
      <c r="A125">
        <f t="shared" si="3"/>
        <v>117</v>
      </c>
      <c r="E125" t="s">
        <v>654</v>
      </c>
      <c r="F125" t="s">
        <v>420</v>
      </c>
      <c r="G125" t="s">
        <v>47</v>
      </c>
      <c r="H125" t="s">
        <v>655</v>
      </c>
      <c r="N125" t="s">
        <v>47</v>
      </c>
      <c r="O125" t="s">
        <v>90</v>
      </c>
      <c r="P125" t="s">
        <v>90</v>
      </c>
    </row>
    <row r="126" spans="1:16" ht="15" x14ac:dyDescent="0.25">
      <c r="A126">
        <f t="shared" si="3"/>
        <v>118</v>
      </c>
      <c r="E126" t="s">
        <v>656</v>
      </c>
      <c r="F126" t="s">
        <v>420</v>
      </c>
      <c r="G126" t="s">
        <v>47</v>
      </c>
      <c r="H126" t="s">
        <v>657</v>
      </c>
      <c r="N126" t="s">
        <v>47</v>
      </c>
      <c r="O126" t="s">
        <v>90</v>
      </c>
      <c r="P126" t="s">
        <v>47</v>
      </c>
    </row>
    <row r="127" spans="1:16" ht="15" x14ac:dyDescent="0.25">
      <c r="A127">
        <f t="shared" si="3"/>
        <v>119</v>
      </c>
      <c r="E127" t="s">
        <v>658</v>
      </c>
      <c r="F127" t="s">
        <v>423</v>
      </c>
      <c r="G127" t="s">
        <v>47</v>
      </c>
      <c r="H127" t="s">
        <v>659</v>
      </c>
      <c r="N127" t="s">
        <v>47</v>
      </c>
      <c r="O127" t="s">
        <v>90</v>
      </c>
      <c r="P127" t="s">
        <v>47</v>
      </c>
    </row>
    <row r="128" spans="1:16" ht="15" x14ac:dyDescent="0.25">
      <c r="A128">
        <f t="shared" si="3"/>
        <v>120</v>
      </c>
      <c r="E128" t="s">
        <v>660</v>
      </c>
      <c r="F128" t="s">
        <v>423</v>
      </c>
      <c r="G128" t="s">
        <v>47</v>
      </c>
      <c r="H128" t="s">
        <v>661</v>
      </c>
      <c r="N128" t="s">
        <v>47</v>
      </c>
      <c r="O128" t="s">
        <v>90</v>
      </c>
      <c r="P128" t="s">
        <v>47</v>
      </c>
    </row>
    <row r="129" spans="1:14" ht="15" x14ac:dyDescent="0.25">
      <c r="A129" s="20" t="s">
        <v>662</v>
      </c>
      <c r="B129" s="20"/>
      <c r="C129" s="20"/>
      <c r="D129" s="20"/>
      <c r="E129" s="20"/>
      <c r="F129" s="20"/>
      <c r="G129" s="20"/>
      <c r="H129" s="20"/>
      <c r="I129" s="20"/>
      <c r="J129" s="20"/>
      <c r="K129" s="20"/>
      <c r="L129" s="20"/>
      <c r="M129" s="20"/>
      <c r="N129" s="20"/>
    </row>
    <row r="130" spans="1:14" ht="15" x14ac:dyDescent="0.25">
      <c r="A130">
        <v>1</v>
      </c>
      <c r="E130" t="s">
        <v>348</v>
      </c>
      <c r="F130" t="s">
        <v>97</v>
      </c>
      <c r="G130" t="s">
        <v>90</v>
      </c>
      <c r="H130" t="s">
        <v>349</v>
      </c>
    </row>
    <row r="131" spans="1:14" ht="15" x14ac:dyDescent="0.25">
      <c r="A131">
        <f t="shared" ref="A131:A136" si="4">A130+1</f>
        <v>2</v>
      </c>
      <c r="B131" t="s">
        <v>663</v>
      </c>
      <c r="E131" t="s">
        <v>664</v>
      </c>
      <c r="F131" t="s">
        <v>89</v>
      </c>
    </row>
    <row r="132" spans="1:14" ht="15" x14ac:dyDescent="0.25">
      <c r="A132">
        <f t="shared" si="4"/>
        <v>3</v>
      </c>
      <c r="B132" t="s">
        <v>663</v>
      </c>
      <c r="E132" t="s">
        <v>665</v>
      </c>
      <c r="F132" t="s">
        <v>89</v>
      </c>
    </row>
    <row r="133" spans="1:14" ht="15" x14ac:dyDescent="0.25">
      <c r="A133">
        <f t="shared" si="4"/>
        <v>4</v>
      </c>
      <c r="B133" t="s">
        <v>663</v>
      </c>
      <c r="E133" t="s">
        <v>666</v>
      </c>
      <c r="F133" t="s">
        <v>125</v>
      </c>
    </row>
    <row r="134" spans="1:14" ht="15" x14ac:dyDescent="0.25">
      <c r="A134">
        <f t="shared" si="4"/>
        <v>5</v>
      </c>
      <c r="B134" t="s">
        <v>663</v>
      </c>
      <c r="E134" t="s">
        <v>667</v>
      </c>
      <c r="F134" t="s">
        <v>89</v>
      </c>
    </row>
    <row r="135" spans="1:14" ht="15" x14ac:dyDescent="0.25">
      <c r="A135">
        <f t="shared" si="4"/>
        <v>6</v>
      </c>
      <c r="B135" t="s">
        <v>668</v>
      </c>
      <c r="E135" t="s">
        <v>115</v>
      </c>
      <c r="F135" t="s">
        <v>89</v>
      </c>
      <c r="H135" t="s">
        <v>368</v>
      </c>
      <c r="M135" t="s">
        <v>669</v>
      </c>
    </row>
    <row r="136" spans="1:14" ht="15" x14ac:dyDescent="0.25">
      <c r="A136">
        <f t="shared" si="4"/>
        <v>7</v>
      </c>
      <c r="E136" t="s">
        <v>670</v>
      </c>
      <c r="F136" t="s">
        <v>89</v>
      </c>
      <c r="G136" t="s">
        <v>90</v>
      </c>
      <c r="H136" t="s">
        <v>671</v>
      </c>
    </row>
    <row r="137" spans="1:14" ht="15" x14ac:dyDescent="0.25">
      <c r="A137" t="s">
        <v>122</v>
      </c>
    </row>
    <row r="141" spans="1:14" ht="15" x14ac:dyDescent="0.25">
      <c r="B141" t="s">
        <v>672</v>
      </c>
    </row>
    <row r="142" spans="1:14" ht="15" x14ac:dyDescent="0.25">
      <c r="A142" t="s">
        <v>90</v>
      </c>
      <c r="B142" t="s">
        <v>673</v>
      </c>
    </row>
    <row r="143" spans="1:14" ht="15" x14ac:dyDescent="0.25">
      <c r="A143" t="s">
        <v>90</v>
      </c>
      <c r="B143" t="s">
        <v>674</v>
      </c>
    </row>
    <row r="144" spans="1:14" ht="15" x14ac:dyDescent="0.25">
      <c r="A144" t="s">
        <v>90</v>
      </c>
      <c r="B144" t="s">
        <v>675</v>
      </c>
    </row>
    <row r="145" spans="1:2" ht="15" x14ac:dyDescent="0.25">
      <c r="A145" t="s">
        <v>90</v>
      </c>
      <c r="B145" t="s">
        <v>676</v>
      </c>
    </row>
    <row r="146" spans="1:2" ht="15" x14ac:dyDescent="0.25">
      <c r="A146" t="s">
        <v>90</v>
      </c>
      <c r="B146" t="s">
        <v>677</v>
      </c>
    </row>
    <row r="147" spans="1:2" ht="15" x14ac:dyDescent="0.25">
      <c r="A147" t="s">
        <v>90</v>
      </c>
      <c r="B147" t="s">
        <v>678</v>
      </c>
    </row>
    <row r="148" spans="1:2" ht="15" x14ac:dyDescent="0.25">
      <c r="A148" t="s">
        <v>90</v>
      </c>
      <c r="B148" t="s">
        <v>679</v>
      </c>
    </row>
    <row r="149" spans="1:2" ht="15" x14ac:dyDescent="0.25">
      <c r="A149" t="s">
        <v>90</v>
      </c>
      <c r="B149" t="s">
        <v>680</v>
      </c>
    </row>
    <row r="150" spans="1:2" ht="15" x14ac:dyDescent="0.25">
      <c r="A150" t="s">
        <v>90</v>
      </c>
      <c r="B150" t="s">
        <v>681</v>
      </c>
    </row>
    <row r="151" spans="1:2" ht="15" x14ac:dyDescent="0.25">
      <c r="A151" t="s">
        <v>90</v>
      </c>
      <c r="B151" t="s">
        <v>682</v>
      </c>
    </row>
    <row r="152" spans="1:2" ht="15" x14ac:dyDescent="0.25">
      <c r="A152" t="s">
        <v>90</v>
      </c>
      <c r="B152" t="s">
        <v>683</v>
      </c>
    </row>
    <row r="153" spans="1:2" ht="15" x14ac:dyDescent="0.25">
      <c r="A153" t="s">
        <v>90</v>
      </c>
      <c r="B153" t="s">
        <v>684</v>
      </c>
    </row>
    <row r="154" spans="1:2" ht="15" x14ac:dyDescent="0.25">
      <c r="A154" t="s">
        <v>90</v>
      </c>
      <c r="B154" t="s">
        <v>685</v>
      </c>
    </row>
    <row r="155" spans="1:2" ht="15" x14ac:dyDescent="0.25">
      <c r="A155" t="s">
        <v>90</v>
      </c>
      <c r="B155" t="s">
        <v>686</v>
      </c>
    </row>
    <row r="156" spans="1:2" ht="15" x14ac:dyDescent="0.25">
      <c r="A156" t="s">
        <v>90</v>
      </c>
      <c r="B156" t="s">
        <v>687</v>
      </c>
    </row>
    <row r="157" spans="1:2" ht="15" x14ac:dyDescent="0.25">
      <c r="A157" t="s">
        <v>90</v>
      </c>
      <c r="B157" t="s">
        <v>688</v>
      </c>
    </row>
    <row r="158" spans="1:2" ht="15" x14ac:dyDescent="0.25">
      <c r="A158" t="s">
        <v>90</v>
      </c>
      <c r="B158" t="s">
        <v>689</v>
      </c>
    </row>
    <row r="159" spans="1:2" ht="15" x14ac:dyDescent="0.25">
      <c r="A159" t="s">
        <v>90</v>
      </c>
      <c r="B159" t="s">
        <v>690</v>
      </c>
    </row>
    <row r="160" spans="1:2" ht="15" x14ac:dyDescent="0.25">
      <c r="A160" t="s">
        <v>90</v>
      </c>
      <c r="B160" t="s">
        <v>691</v>
      </c>
    </row>
    <row r="161" spans="1:2" ht="15" x14ac:dyDescent="0.25">
      <c r="A161" t="s">
        <v>90</v>
      </c>
      <c r="B161" t="s">
        <v>692</v>
      </c>
    </row>
    <row r="162" spans="1:2" ht="15" x14ac:dyDescent="0.25">
      <c r="A162" t="s">
        <v>90</v>
      </c>
      <c r="B162" t="s">
        <v>693</v>
      </c>
    </row>
    <row r="163" spans="1:2" ht="15" x14ac:dyDescent="0.25">
      <c r="A163" t="s">
        <v>90</v>
      </c>
      <c r="B163" t="s">
        <v>694</v>
      </c>
    </row>
    <row r="164" spans="1:2" ht="15" x14ac:dyDescent="0.25">
      <c r="A164" t="s">
        <v>90</v>
      </c>
      <c r="B164" t="s">
        <v>695</v>
      </c>
    </row>
    <row r="165" spans="1:2" ht="15" x14ac:dyDescent="0.25">
      <c r="A165" t="s">
        <v>90</v>
      </c>
      <c r="B165" t="s">
        <v>696</v>
      </c>
    </row>
    <row r="166" spans="1:2" ht="15" x14ac:dyDescent="0.25">
      <c r="A166" t="s">
        <v>90</v>
      </c>
      <c r="B166" t="s">
        <v>697</v>
      </c>
    </row>
    <row r="167" spans="1:2" ht="15" x14ac:dyDescent="0.25">
      <c r="A167" t="s">
        <v>90</v>
      </c>
      <c r="B167" t="s">
        <v>698</v>
      </c>
    </row>
    <row r="168" spans="1:2" ht="15" x14ac:dyDescent="0.25">
      <c r="A168" t="s">
        <v>90</v>
      </c>
      <c r="B168" t="s">
        <v>699</v>
      </c>
    </row>
    <row r="169" spans="1:2" ht="15" x14ac:dyDescent="0.25">
      <c r="A169" t="s">
        <v>90</v>
      </c>
      <c r="B169" t="s">
        <v>700</v>
      </c>
    </row>
    <row r="170" spans="1:2" ht="15" x14ac:dyDescent="0.25">
      <c r="A170" t="s">
        <v>90</v>
      </c>
      <c r="B170" t="s">
        <v>701</v>
      </c>
    </row>
    <row r="171" spans="1:2" ht="15" x14ac:dyDescent="0.25">
      <c r="A171" t="s">
        <v>90</v>
      </c>
      <c r="B171" t="s">
        <v>702</v>
      </c>
    </row>
    <row r="172" spans="1:2" ht="15" x14ac:dyDescent="0.25">
      <c r="A172" t="s">
        <v>90</v>
      </c>
      <c r="B172" t="s">
        <v>703</v>
      </c>
    </row>
    <row r="173" spans="1:2" ht="15" x14ac:dyDescent="0.25">
      <c r="A173" t="s">
        <v>90</v>
      </c>
      <c r="B173" t="s">
        <v>704</v>
      </c>
    </row>
    <row r="174" spans="1:2" ht="15" x14ac:dyDescent="0.25">
      <c r="A174" t="s">
        <v>90</v>
      </c>
      <c r="B174" t="s">
        <v>705</v>
      </c>
    </row>
    <row r="175" spans="1:2" ht="15" x14ac:dyDescent="0.25">
      <c r="A175" t="s">
        <v>90</v>
      </c>
      <c r="B175" t="s">
        <v>706</v>
      </c>
    </row>
    <row r="176" spans="1:2" ht="15" x14ac:dyDescent="0.25">
      <c r="A176" t="s">
        <v>90</v>
      </c>
      <c r="B176" t="s">
        <v>707</v>
      </c>
    </row>
    <row r="177" spans="1:2" ht="15" x14ac:dyDescent="0.25">
      <c r="A177" t="s">
        <v>90</v>
      </c>
      <c r="B177" t="s">
        <v>708</v>
      </c>
    </row>
    <row r="178" spans="1:2" ht="15" x14ac:dyDescent="0.25">
      <c r="A178" t="s">
        <v>90</v>
      </c>
      <c r="B178" t="s">
        <v>709</v>
      </c>
    </row>
    <row r="179" spans="1:2" ht="15" x14ac:dyDescent="0.25">
      <c r="A179" t="s">
        <v>90</v>
      </c>
      <c r="B179" t="s">
        <v>710</v>
      </c>
    </row>
    <row r="180" spans="1:2" ht="15" x14ac:dyDescent="0.25">
      <c r="A180" t="s">
        <v>90</v>
      </c>
      <c r="B180" t="s">
        <v>711</v>
      </c>
    </row>
    <row r="181" spans="1:2" ht="15" x14ac:dyDescent="0.25">
      <c r="A181" t="s">
        <v>90</v>
      </c>
      <c r="B181" t="s">
        <v>712</v>
      </c>
    </row>
    <row r="182" spans="1:2" ht="15" x14ac:dyDescent="0.25">
      <c r="A182" t="s">
        <v>90</v>
      </c>
      <c r="B182" t="s">
        <v>713</v>
      </c>
    </row>
    <row r="183" spans="1:2" ht="15" x14ac:dyDescent="0.25">
      <c r="A183" t="s">
        <v>90</v>
      </c>
      <c r="B183" t="s">
        <v>714</v>
      </c>
    </row>
    <row r="184" spans="1:2" ht="15" x14ac:dyDescent="0.25">
      <c r="A184" t="s">
        <v>90</v>
      </c>
      <c r="B184" t="s">
        <v>715</v>
      </c>
    </row>
    <row r="185" spans="1:2" ht="15" x14ac:dyDescent="0.25">
      <c r="A185" t="s">
        <v>90</v>
      </c>
      <c r="B185" t="s">
        <v>716</v>
      </c>
    </row>
    <row r="186" spans="1:2" ht="15" x14ac:dyDescent="0.25">
      <c r="A186" t="s">
        <v>90</v>
      </c>
      <c r="B186" t="s">
        <v>717</v>
      </c>
    </row>
    <row r="187" spans="1:2" ht="15" x14ac:dyDescent="0.25">
      <c r="A187" t="s">
        <v>90</v>
      </c>
      <c r="B187" t="s">
        <v>718</v>
      </c>
    </row>
    <row r="188" spans="1:2" ht="15" x14ac:dyDescent="0.25">
      <c r="A188" t="s">
        <v>90</v>
      </c>
      <c r="B188" t="s">
        <v>719</v>
      </c>
    </row>
    <row r="189" spans="1:2" ht="15" x14ac:dyDescent="0.25">
      <c r="A189" t="s">
        <v>90</v>
      </c>
      <c r="B189" t="s">
        <v>720</v>
      </c>
    </row>
    <row r="190" spans="1:2" ht="15" x14ac:dyDescent="0.25">
      <c r="A190" t="s">
        <v>90</v>
      </c>
      <c r="B190" t="s">
        <v>721</v>
      </c>
    </row>
    <row r="191" spans="1:2" ht="15" x14ac:dyDescent="0.25">
      <c r="A191" t="s">
        <v>90</v>
      </c>
      <c r="B191" t="s">
        <v>722</v>
      </c>
    </row>
    <row r="192" spans="1:2" ht="15" x14ac:dyDescent="0.25">
      <c r="A192" t="s">
        <v>90</v>
      </c>
      <c r="B192" t="s">
        <v>723</v>
      </c>
    </row>
    <row r="193" spans="1:2" ht="15" x14ac:dyDescent="0.25">
      <c r="A193" t="s">
        <v>90</v>
      </c>
      <c r="B193" t="s">
        <v>724</v>
      </c>
    </row>
    <row r="194" spans="1:2" ht="15" x14ac:dyDescent="0.25">
      <c r="A194" t="s">
        <v>90</v>
      </c>
      <c r="B194" t="s">
        <v>725</v>
      </c>
    </row>
    <row r="195" spans="1:2" ht="15" x14ac:dyDescent="0.25">
      <c r="A195" t="s">
        <v>90</v>
      </c>
      <c r="B195" t="s">
        <v>726</v>
      </c>
    </row>
    <row r="196" spans="1:2" ht="15" x14ac:dyDescent="0.25">
      <c r="A196" t="s">
        <v>90</v>
      </c>
      <c r="B196" t="s">
        <v>727</v>
      </c>
    </row>
    <row r="197" spans="1:2" ht="15" x14ac:dyDescent="0.25">
      <c r="A197" t="s">
        <v>90</v>
      </c>
      <c r="B197" t="s">
        <v>728</v>
      </c>
    </row>
    <row r="198" spans="1:2" ht="15" x14ac:dyDescent="0.25">
      <c r="A198" t="s">
        <v>90</v>
      </c>
      <c r="B198" t="s">
        <v>729</v>
      </c>
    </row>
    <row r="199" spans="1:2" ht="15" x14ac:dyDescent="0.25">
      <c r="A199" t="s">
        <v>90</v>
      </c>
      <c r="B199" t="s">
        <v>730</v>
      </c>
    </row>
    <row r="200" spans="1:2" ht="15" x14ac:dyDescent="0.25">
      <c r="A200" t="s">
        <v>90</v>
      </c>
      <c r="B200" t="s">
        <v>731</v>
      </c>
    </row>
    <row r="201" spans="1:2" ht="15" x14ac:dyDescent="0.25">
      <c r="A201" t="s">
        <v>90</v>
      </c>
      <c r="B201" t="s">
        <v>732</v>
      </c>
    </row>
    <row r="202" spans="1:2" ht="15" x14ac:dyDescent="0.25">
      <c r="A202" t="s">
        <v>90</v>
      </c>
      <c r="B202" t="s">
        <v>733</v>
      </c>
    </row>
    <row r="203" spans="1:2" ht="15" x14ac:dyDescent="0.25">
      <c r="A203" t="s">
        <v>90</v>
      </c>
      <c r="B203" t="s">
        <v>734</v>
      </c>
    </row>
    <row r="204" spans="1:2" ht="15" x14ac:dyDescent="0.25">
      <c r="A204" t="s">
        <v>90</v>
      </c>
      <c r="B204" t="s">
        <v>735</v>
      </c>
    </row>
    <row r="205" spans="1:2" ht="15" x14ac:dyDescent="0.25">
      <c r="A205" t="s">
        <v>90</v>
      </c>
      <c r="B205" t="s">
        <v>736</v>
      </c>
    </row>
    <row r="206" spans="1:2" ht="15" x14ac:dyDescent="0.25">
      <c r="A206" t="s">
        <v>90</v>
      </c>
      <c r="B206" t="s">
        <v>737</v>
      </c>
    </row>
    <row r="207" spans="1:2" ht="15" x14ac:dyDescent="0.25">
      <c r="A207" t="s">
        <v>90</v>
      </c>
      <c r="B207" t="s">
        <v>738</v>
      </c>
    </row>
    <row r="208" spans="1:2" ht="15" x14ac:dyDescent="0.25">
      <c r="A208" t="s">
        <v>90</v>
      </c>
      <c r="B208" t="s">
        <v>739</v>
      </c>
    </row>
    <row r="209" spans="1:2" ht="15" x14ac:dyDescent="0.25">
      <c r="A209" t="s">
        <v>90</v>
      </c>
      <c r="B209" t="s">
        <v>740</v>
      </c>
    </row>
    <row r="210" spans="1:2" ht="15" x14ac:dyDescent="0.25">
      <c r="A210" t="s">
        <v>90</v>
      </c>
      <c r="B210" t="s">
        <v>741</v>
      </c>
    </row>
    <row r="211" spans="1:2" ht="15" x14ac:dyDescent="0.25">
      <c r="A211" t="s">
        <v>90</v>
      </c>
      <c r="B211" t="s">
        <v>742</v>
      </c>
    </row>
    <row r="212" spans="1:2" ht="15" x14ac:dyDescent="0.25">
      <c r="A212" t="s">
        <v>90</v>
      </c>
      <c r="B212" t="s">
        <v>743</v>
      </c>
    </row>
    <row r="213" spans="1:2" ht="15" x14ac:dyDescent="0.25">
      <c r="A213" t="s">
        <v>90</v>
      </c>
      <c r="B213" t="s">
        <v>744</v>
      </c>
    </row>
    <row r="214" spans="1:2" ht="15" x14ac:dyDescent="0.25">
      <c r="A214" t="s">
        <v>90</v>
      </c>
      <c r="B214" t="s">
        <v>745</v>
      </c>
    </row>
    <row r="215" spans="1:2" ht="15" x14ac:dyDescent="0.25">
      <c r="A215" t="s">
        <v>90</v>
      </c>
      <c r="B215" t="s">
        <v>746</v>
      </c>
    </row>
    <row r="216" spans="1:2" ht="15" x14ac:dyDescent="0.25">
      <c r="A216" t="s">
        <v>90</v>
      </c>
      <c r="B216" t="s">
        <v>747</v>
      </c>
    </row>
    <row r="217" spans="1:2" ht="15" x14ac:dyDescent="0.25">
      <c r="A217" t="s">
        <v>90</v>
      </c>
      <c r="B217" t="s">
        <v>748</v>
      </c>
    </row>
    <row r="218" spans="1:2" ht="15" x14ac:dyDescent="0.25">
      <c r="A218" t="s">
        <v>90</v>
      </c>
      <c r="B218" t="s">
        <v>749</v>
      </c>
    </row>
    <row r="219" spans="1:2" ht="15" x14ac:dyDescent="0.25">
      <c r="A219" t="s">
        <v>90</v>
      </c>
      <c r="B219" t="s">
        <v>750</v>
      </c>
    </row>
    <row r="220" spans="1:2" ht="15" x14ac:dyDescent="0.25">
      <c r="A220" t="s">
        <v>90</v>
      </c>
      <c r="B220" t="s">
        <v>751</v>
      </c>
    </row>
    <row r="221" spans="1:2" ht="15" x14ac:dyDescent="0.25">
      <c r="A221" t="s">
        <v>90</v>
      </c>
      <c r="B221" t="s">
        <v>752</v>
      </c>
    </row>
    <row r="222" spans="1:2" ht="15" x14ac:dyDescent="0.25">
      <c r="A222" t="s">
        <v>90</v>
      </c>
      <c r="B222" t="s">
        <v>753</v>
      </c>
    </row>
    <row r="223" spans="1:2" ht="15" x14ac:dyDescent="0.25">
      <c r="A223" t="s">
        <v>90</v>
      </c>
      <c r="B223" t="s">
        <v>754</v>
      </c>
    </row>
    <row r="224" spans="1:2" ht="15" x14ac:dyDescent="0.25">
      <c r="A224" t="s">
        <v>90</v>
      </c>
      <c r="B224" t="s">
        <v>755</v>
      </c>
    </row>
    <row r="225" spans="1:2" ht="15" x14ac:dyDescent="0.25">
      <c r="A225" t="s">
        <v>90</v>
      </c>
      <c r="B225" t="s">
        <v>756</v>
      </c>
    </row>
    <row r="226" spans="1:2" ht="15" x14ac:dyDescent="0.25">
      <c r="A226" t="s">
        <v>90</v>
      </c>
      <c r="B226" t="s">
        <v>757</v>
      </c>
    </row>
    <row r="227" spans="1:2" ht="15" x14ac:dyDescent="0.25">
      <c r="A227" t="s">
        <v>90</v>
      </c>
      <c r="B227" t="s">
        <v>758</v>
      </c>
    </row>
    <row r="228" spans="1:2" ht="15" x14ac:dyDescent="0.25">
      <c r="A228" t="s">
        <v>90</v>
      </c>
      <c r="B228" t="s">
        <v>759</v>
      </c>
    </row>
    <row r="229" spans="1:2" ht="15" x14ac:dyDescent="0.25">
      <c r="A229" t="s">
        <v>90</v>
      </c>
      <c r="B229" t="s">
        <v>760</v>
      </c>
    </row>
    <row r="230" spans="1:2" ht="15" x14ac:dyDescent="0.25">
      <c r="A230" t="s">
        <v>90</v>
      </c>
      <c r="B230" t="s">
        <v>761</v>
      </c>
    </row>
    <row r="231" spans="1:2" ht="15" x14ac:dyDescent="0.25">
      <c r="A231" t="s">
        <v>90</v>
      </c>
      <c r="B231" t="s">
        <v>762</v>
      </c>
    </row>
    <row r="232" spans="1:2" ht="15" x14ac:dyDescent="0.25">
      <c r="A232" t="s">
        <v>90</v>
      </c>
      <c r="B232" t="s">
        <v>763</v>
      </c>
    </row>
    <row r="233" spans="1:2" ht="15" x14ac:dyDescent="0.25">
      <c r="A233" t="s">
        <v>90</v>
      </c>
      <c r="B233" t="s">
        <v>764</v>
      </c>
    </row>
    <row r="234" spans="1:2" ht="15" x14ac:dyDescent="0.25">
      <c r="A234" t="s">
        <v>90</v>
      </c>
      <c r="B234" t="s">
        <v>765</v>
      </c>
    </row>
    <row r="235" spans="1:2" ht="15" x14ac:dyDescent="0.25">
      <c r="A235" t="s">
        <v>90</v>
      </c>
      <c r="B235" t="s">
        <v>766</v>
      </c>
    </row>
    <row r="236" spans="1:2" ht="15" x14ac:dyDescent="0.25">
      <c r="A236" t="s">
        <v>90</v>
      </c>
      <c r="B236" t="s">
        <v>767</v>
      </c>
    </row>
    <row r="237" spans="1:2" ht="15" x14ac:dyDescent="0.25">
      <c r="A237" t="s">
        <v>90</v>
      </c>
      <c r="B237" t="s">
        <v>768</v>
      </c>
    </row>
    <row r="238" spans="1:2" ht="15" x14ac:dyDescent="0.25">
      <c r="A238" t="s">
        <v>90</v>
      </c>
      <c r="B238" t="s">
        <v>769</v>
      </c>
    </row>
    <row r="239" spans="1:2" ht="15" x14ac:dyDescent="0.25">
      <c r="A239" t="s">
        <v>90</v>
      </c>
      <c r="B239" t="s">
        <v>770</v>
      </c>
    </row>
    <row r="240" spans="1:2" ht="15" x14ac:dyDescent="0.25">
      <c r="A240" t="s">
        <v>90</v>
      </c>
      <c r="B240" t="s">
        <v>771</v>
      </c>
    </row>
    <row r="241" spans="1:2" ht="15" x14ac:dyDescent="0.25">
      <c r="A241" t="s">
        <v>90</v>
      </c>
      <c r="B241" t="s">
        <v>772</v>
      </c>
    </row>
    <row r="242" spans="1:2" ht="15" x14ac:dyDescent="0.25">
      <c r="A242" t="s">
        <v>90</v>
      </c>
      <c r="B242" t="s">
        <v>773</v>
      </c>
    </row>
    <row r="243" spans="1:2" ht="15" x14ac:dyDescent="0.25">
      <c r="A243" t="s">
        <v>90</v>
      </c>
      <c r="B243" t="s">
        <v>774</v>
      </c>
    </row>
    <row r="244" spans="1:2" ht="15" x14ac:dyDescent="0.25">
      <c r="A244" t="s">
        <v>90</v>
      </c>
      <c r="B244" t="s">
        <v>775</v>
      </c>
    </row>
    <row r="245" spans="1:2" ht="15" x14ac:dyDescent="0.25">
      <c r="A245" t="s">
        <v>90</v>
      </c>
      <c r="B245" t="s">
        <v>776</v>
      </c>
    </row>
    <row r="246" spans="1:2" ht="15" x14ac:dyDescent="0.25">
      <c r="A246" t="s">
        <v>90</v>
      </c>
      <c r="B246" t="s">
        <v>777</v>
      </c>
    </row>
    <row r="247" spans="1:2" ht="15" x14ac:dyDescent="0.25">
      <c r="A247" t="s">
        <v>90</v>
      </c>
      <c r="B247" t="s">
        <v>778</v>
      </c>
    </row>
    <row r="248" spans="1:2" ht="15" x14ac:dyDescent="0.25">
      <c r="A248" t="s">
        <v>90</v>
      </c>
      <c r="B248" t="s">
        <v>779</v>
      </c>
    </row>
    <row r="249" spans="1:2" ht="15" x14ac:dyDescent="0.25">
      <c r="A249" t="s">
        <v>90</v>
      </c>
      <c r="B249" t="s">
        <v>780</v>
      </c>
    </row>
    <row r="250" spans="1:2" ht="15" x14ac:dyDescent="0.25">
      <c r="A250" t="s">
        <v>90</v>
      </c>
      <c r="B250" t="s">
        <v>781</v>
      </c>
    </row>
    <row r="251" spans="1:2" ht="15" x14ac:dyDescent="0.25">
      <c r="A251" t="s">
        <v>90</v>
      </c>
      <c r="B251" t="s">
        <v>782</v>
      </c>
    </row>
    <row r="252" spans="1:2" ht="15" x14ac:dyDescent="0.25">
      <c r="A252" t="s">
        <v>90</v>
      </c>
      <c r="B252" t="s">
        <v>783</v>
      </c>
    </row>
    <row r="253" spans="1:2" ht="15" x14ac:dyDescent="0.25">
      <c r="A253" t="s">
        <v>90</v>
      </c>
      <c r="B253" t="s">
        <v>784</v>
      </c>
    </row>
    <row r="254" spans="1:2" ht="15" x14ac:dyDescent="0.25">
      <c r="A254" t="s">
        <v>90</v>
      </c>
      <c r="B254" t="s">
        <v>785</v>
      </c>
    </row>
    <row r="255" spans="1:2" ht="15" x14ac:dyDescent="0.25">
      <c r="A255" t="s">
        <v>90</v>
      </c>
      <c r="B255" t="s">
        <v>786</v>
      </c>
    </row>
    <row r="256" spans="1:2" ht="15" x14ac:dyDescent="0.25">
      <c r="A256" t="s">
        <v>90</v>
      </c>
      <c r="B256" t="s">
        <v>787</v>
      </c>
    </row>
    <row r="257" spans="1:2" ht="15" x14ac:dyDescent="0.25">
      <c r="A257" t="s">
        <v>90</v>
      </c>
      <c r="B257" t="s">
        <v>788</v>
      </c>
    </row>
    <row r="258" spans="1:2" ht="15" x14ac:dyDescent="0.25">
      <c r="A258" t="s">
        <v>90</v>
      </c>
      <c r="B258" t="s">
        <v>789</v>
      </c>
    </row>
    <row r="259" spans="1:2" ht="15" x14ac:dyDescent="0.25">
      <c r="A259" t="s">
        <v>90</v>
      </c>
      <c r="B259" t="s">
        <v>790</v>
      </c>
    </row>
    <row r="260" spans="1:2" ht="15" x14ac:dyDescent="0.25">
      <c r="A260" t="s">
        <v>90</v>
      </c>
      <c r="B260" t="s">
        <v>791</v>
      </c>
    </row>
  </sheetData>
  <autoFilter ref="A8:N137" xr:uid="{00000000-0009-0000-0000-00000A000000}"/>
  <mergeCells count="8">
    <mergeCell ref="A6:N6"/>
    <mergeCell ref="A7:P7"/>
    <mergeCell ref="A129:N129"/>
    <mergeCell ref="A1:P1"/>
    <mergeCell ref="A2:P2"/>
    <mergeCell ref="A3:P3"/>
    <mergeCell ref="A4:P4"/>
    <mergeCell ref="A5:P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Index</vt:lpstr>
      <vt:lpstr>VersionHistory</vt:lpstr>
      <vt:lpstr>Create</vt:lpstr>
      <vt:lpstr>Sheet1</vt:lpstr>
      <vt:lpstr>Update</vt:lpstr>
      <vt:lpstr>Cancel</vt:lpstr>
      <vt:lpstr>Delete</vt:lpstr>
      <vt:lpstr>Search</vt:lpstr>
      <vt:lpstr>GetByID</vt:lpstr>
      <vt:lpstr>OutOfScope</vt:lpstr>
      <vt:lpstr>Loan Change Transaction</vt:lpstr>
      <vt:lpstr>_Toc139059209</vt:lpstr>
      <vt:lpstr>_Toc81484211</vt:lpstr>
      <vt:lpstr>_Toc81484212</vt:lpstr>
      <vt:lpstr>_Toc81484213</vt:lpstr>
      <vt:lpstr>_Toc81484214</vt:lpstr>
      <vt:lpstr>_Toc81484215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2023-07-18T03:35:22Z</dcterms:created>
  <dcterms:modified xsi:type="dcterms:W3CDTF">2026-08-06T12:50:39Z</dcterms:modified>
</cp:coreProperties>
</file>